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5e83376432e4c2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udit Summary" sheetId="1" r:id="Rd6e39c1f3a6c4c3e"/>
    <x:sheet xmlns:r="http://schemas.openxmlformats.org/officeDocument/2006/relationships" name="Policy &amp; Inputs" sheetId="2" r:id="R86f518f31cd34443"/>
    <x:sheet xmlns:r="http://schemas.openxmlformats.org/officeDocument/2006/relationships" name="Provincial Capacity" sheetId="3" r:id="Rb99a1559cedd431a"/>
    <x:sheet xmlns:r="http://schemas.openxmlformats.org/officeDocument/2006/relationships" name="Named Capacity" sheetId="4" r:id="R142432541067489a"/>
    <x:sheet xmlns:r="http://schemas.openxmlformats.org/officeDocument/2006/relationships" name="Price Evidence" sheetId="5" r:id="R55bc9ff13ebd4763"/>
    <x:sheet xmlns:r="http://schemas.openxmlformats.org/officeDocument/2006/relationships" name="Scenario Outputs" sheetId="6" r:id="R1787d85e55da4fa5"/>
    <x:sheet xmlns:r="http://schemas.openxmlformats.org/officeDocument/2006/relationships" name="Source Verification" sheetId="7" r:id="R629fbee166234126"/>
  </x:sheets>
</x:workbook>
</file>

<file path=xl/comments1.xml><?xml version="1.0" encoding="utf-8"?>
<x:comments xmlns:x="http://schemas.openxmlformats.org/spreadsheetml/2006/main">
  <x:authors>
    <x:author>tc={27C6A004-236C-46FA-9A5D-DDCDEA0F4DC3}</x:author>
    <x:author>tc={10228456-4821-4193-B7B7-1C82EF62987A}</x:author>
  </x:authors>
  <x:commentList>
    <x:comment ref="B15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China technology penalty: SemiAnalysis engineering estimate of 2.5× electricity per dense-BF16 FLOP; not a primary metered full-system result.</x:t>
        </x:r>
      </x:text>
    </x:comment>
    <x:comment ref="B16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https://www.federalreserve.gov/releases/g5a/current/ — 2025 annual average, currency units per USD.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1">
    <x:numFmt numFmtId="200" formatCode="yyyy-mm-dd"/>
    <x:numFmt numFmtId="201" formatCode="0.0%"/>
    <x:numFmt numFmtId="202" formatCode="0.0000"/>
    <x:numFmt numFmtId="203" formatCode="0.0000%"/>
    <x:numFmt numFmtId="204" formatCode="#,##0"/>
    <x:numFmt numFmtId="205" formatCode="#,##0.0"/>
    <x:numFmt numFmtId="206" formatCode="#,##0.0000"/>
    <x:numFmt numFmtId="207" formatCode="0.00000000"/>
    <x:numFmt numFmtId="208" formatCode="$0.000000"/>
    <x:numFmt numFmtId="209" formatCode="0.000000"/>
    <x:numFmt numFmtId="210" formatCode="0.000000%"/>
  </x:numFmts>
  <x:fonts count="5">
    <x:font>
      <x:sz val="11"/>
      <x:name val="Carlito"/>
    </x:font>
    <x:font>
      <x:b/>
      <x:sz val="18"/>
      <x:color rgb="FFFFFFFF"/>
      <x:name val="Aptos Display"/>
    </x:font>
    <x:font>
      <x:i/>
      <x:sz val="11"/>
      <x:color rgb="FF35516A"/>
      <x:name val="Carlito"/>
    </x:font>
    <x:font>
      <x:b/>
      <x:sz val="11"/>
      <x:color rgb="FFFFFFFF"/>
      <x:name val="Carlito"/>
    </x:font>
    <x:font>
      <x:b/>
      <x:sz val="11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7344F"/>
      </x:patternFill>
    </x:fill>
    <x:fill>
      <x:patternFill patternType="solid">
        <x:fgColor rgb="FFD9E8F3"/>
      </x:patternFill>
    </x:fill>
    <x:fill>
      <x:patternFill patternType="solid">
        <x:fgColor rgb="FFF7F5EF"/>
      </x:patternFill>
    </x:fill>
    <x:fill>
      <x:patternFill patternType="solid">
        <x:fgColor rgb="FFF3E7C4"/>
      </x:patternFill>
    </x:fill>
  </x:fills>
  <x:borders count="6">
    <x:border/>
    <x:border>
      <x:bottom style="medium">
        <x:color rgb="FF17344F"/>
      </x:bottom>
    </x:border>
    <x:border>
      <x:bottom style="thin">
        <x:color rgb="FFCCD3D0"/>
      </x:bottom>
    </x:border>
    <x:border>
      <x:top style="thin">
        <x:color rgb="FFCCD3D0"/>
      </x:top>
      <x:bottom style="thin">
        <x:color rgb="FFCCD3D0"/>
      </x:bottom>
    </x:border>
    <x:border>
      <x:top style="thin">
        <x:color rgb="FFCCD3D0"/>
      </x:top>
    </x:border>
    <x:border>
      <x:top style="medium">
        <x:color rgb="FF17344F"/>
      </x:top>
    </x:border>
  </x:borders>
  <x:cellStyleXfs count="1">
    <x:xf numFmtId="0" fontId="0" fillId="0" borderId="0"/>
  </x:cellStyleXfs>
  <x:cellXfs count="12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vertical="center" wrapText="1"/>
    </x:xf>
    <x:xf numFmtId="200" fontId="0" fillId="3" borderId="0" xfId="0" applyNumberFormat="1" applyFont="1" applyFill="1" applyBorder="1"/>
    <x:xf numFmtId="201" fontId="0" fillId="3" borderId="0" xfId="0" applyNumberFormat="1" applyFont="1" applyFill="1" applyBorder="1"/>
    <x:xf numFmtId="202" fontId="0" fillId="3" borderId="0" xfId="0" applyNumberFormat="1" applyFont="1" applyFill="1" applyBorder="1"/>
    <x:xf numFmtId="0" fontId="0" fillId="0" borderId="2" xfId="0" applyNumberFormat="1" applyFont="1" applyFill="1" applyBorder="1"/>
    <x:xf numFmtId="200" fontId="0" fillId="3" borderId="2" xfId="0" applyNumberFormat="1" applyFont="1" applyFill="1" applyBorder="1"/>
    <x:xf numFmtId="0" fontId="0" fillId="0" borderId="3" xfId="0" applyNumberFormat="1" applyFont="1" applyFill="1" applyBorder="1"/>
    <x:xf numFmtId="200" fontId="0" fillId="3" borderId="3" xfId="0" applyNumberFormat="1" applyFont="1" applyFill="1" applyBorder="1"/>
    <x:xf numFmtId="0" fontId="0" fillId="3" borderId="3" xfId="0" applyNumberFormat="1" applyFont="1" applyFill="1" applyBorder="1"/>
    <x:xf numFmtId="201" fontId="0" fillId="3" borderId="3" xfId="0" applyNumberFormat="1" applyFont="1" applyFill="1" applyBorder="1"/>
    <x:xf numFmtId="202" fontId="0" fillId="3" borderId="3" xfId="0" applyNumberFormat="1" applyFont="1" applyFill="1" applyBorder="1"/>
    <x:xf numFmtId="0" fontId="0" fillId="0" borderId="4" xfId="0" applyNumberFormat="1" applyFont="1" applyFill="1" applyBorder="1"/>
    <x:xf numFmtId="0" fontId="0" fillId="3" borderId="4" xfId="0" applyNumberFormat="1" applyFont="1" applyFill="1" applyBorder="1"/>
    <x:xf numFmtId="0" fontId="0" fillId="0" borderId="2" xfId="0" applyNumberFormat="1" applyFont="1" applyFill="1" applyBorder="1" applyAlignment="1">
      <x:alignment vertical="top"/>
    </x:xf>
    <x:xf numFmtId="200" fontId="0" fillId="3" borderId="2" xfId="0" applyNumberFormat="1" applyFont="1" applyFill="1" applyBorder="1" applyAlignment="1">
      <x:alignment vertical="top"/>
    </x:xf>
    <x:xf numFmtId="0" fontId="0" fillId="0" borderId="3" xfId="0" applyNumberFormat="1" applyFont="1" applyFill="1" applyBorder="1" applyAlignment="1">
      <x:alignment vertical="top"/>
    </x:xf>
    <x:xf numFmtId="200" fontId="0" fillId="3" borderId="3" xfId="0" applyNumberFormat="1" applyFont="1" applyFill="1" applyBorder="1" applyAlignment="1">
      <x:alignment vertical="top"/>
    </x:xf>
    <x:xf numFmtId="0" fontId="0" fillId="3" borderId="3" xfId="0" applyNumberFormat="1" applyFont="1" applyFill="1" applyBorder="1" applyAlignment="1">
      <x:alignment vertical="top"/>
    </x:xf>
    <x:xf numFmtId="201" fontId="0" fillId="3" borderId="3" xfId="0" applyNumberFormat="1" applyFont="1" applyFill="1" applyBorder="1" applyAlignment="1">
      <x:alignment vertical="top"/>
    </x:xf>
    <x:xf numFmtId="202" fontId="0" fillId="3" borderId="3" xfId="0" applyNumberFormat="1" applyFont="1" applyFill="1" applyBorder="1" applyAlignment="1">
      <x:alignment vertical="top"/>
    </x:xf>
    <x:xf numFmtId="0" fontId="0" fillId="0" borderId="4" xfId="0" applyNumberFormat="1" applyFont="1" applyFill="1" applyBorder="1" applyAlignment="1">
      <x:alignment vertical="top"/>
    </x:xf>
    <x:xf numFmtId="0" fontId="0" fillId="3" borderId="4" xfId="0" applyNumberFormat="1" applyFont="1" applyFill="1" applyBorder="1" applyAlignment="1">
      <x:alignment vertical="top"/>
    </x:xf>
    <x:xf numFmtId="0" fontId="0" fillId="4" borderId="0" xfId="0" applyNumberFormat="1" applyFont="1" applyFill="1" applyBorder="1"/>
    <x:xf numFmtId="0" fontId="0" fillId="4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3" borderId="0" xfId="0" applyNumberFormat="1" applyFont="1" applyFill="1" applyBorder="1"/>
    <x:xf numFmtId="0" fontId="4" fillId="3" borderId="5" xfId="0" applyNumberFormat="1" applyFont="1" applyFill="1" applyBorder="1"/>
    <x:xf numFmtId="203" fontId="0" fillId="0" borderId="0" xfId="0" applyNumberFormat="1" applyFont="1" applyFill="1" applyBorder="1"/>
    <x:xf numFmtId="203" fontId="4" fillId="3" borderId="5" xfId="0" applyNumberFormat="1" applyFont="1" applyFill="1" applyBorder="1"/>
    <x:xf numFmtId="204" fontId="0" fillId="0" borderId="0" xfId="0" applyNumberFormat="1" applyFont="1" applyFill="1" applyBorder="1"/>
    <x:xf numFmtId="204" fontId="4" fillId="3" borderId="5" xfId="0" applyNumberFormat="1" applyFont="1" applyFill="1" applyBorder="1"/>
    <x:xf numFmtId="205" fontId="0" fillId="0" borderId="0" xfId="0" applyNumberFormat="1" applyFont="1" applyFill="1" applyBorder="1"/>
    <x:xf numFmtId="205" fontId="4" fillId="3" borderId="5" xfId="0" applyNumberFormat="1" applyFont="1" applyFill="1" applyBorder="1"/>
    <x:xf numFmtId="200" fontId="0" fillId="0" borderId="0" xfId="0" applyNumberFormat="1" applyFont="1" applyFill="1" applyBorder="1"/>
    <x:xf numFmtId="203" fontId="0" fillId="0" borderId="2" xfId="0" applyNumberFormat="1" applyFont="1" applyFill="1" applyBorder="1"/>
    <x:xf numFmtId="204" fontId="0" fillId="0" borderId="2" xfId="0" applyNumberFormat="1" applyFont="1" applyFill="1" applyBorder="1"/>
    <x:xf numFmtId="205" fontId="0" fillId="0" borderId="2" xfId="0" applyNumberFormat="1" applyFont="1" applyFill="1" applyBorder="1"/>
    <x:xf numFmtId="200" fontId="0" fillId="0" borderId="2" xfId="0" applyNumberFormat="1" applyFont="1" applyFill="1" applyBorder="1"/>
    <x:xf numFmtId="203" fontId="0" fillId="0" borderId="3" xfId="0" applyNumberFormat="1" applyFont="1" applyFill="1" applyBorder="1"/>
    <x:xf numFmtId="204" fontId="0" fillId="0" borderId="3" xfId="0" applyNumberFormat="1" applyFont="1" applyFill="1" applyBorder="1"/>
    <x:xf numFmtId="205" fontId="0" fillId="0" borderId="3" xfId="0" applyNumberFormat="1" applyFont="1" applyFill="1" applyBorder="1"/>
    <x:xf numFmtId="200" fontId="0" fillId="0" borderId="3" xfId="0" applyNumberFormat="1" applyFont="1" applyFill="1" applyBorder="1"/>
    <x:xf numFmtId="203" fontId="0" fillId="0" borderId="4" xfId="0" applyNumberFormat="1" applyFont="1" applyFill="1" applyBorder="1"/>
    <x:xf numFmtId="204" fontId="0" fillId="0" borderId="4" xfId="0" applyNumberFormat="1" applyFont="1" applyFill="1" applyBorder="1"/>
    <x:xf numFmtId="205" fontId="0" fillId="0" borderId="4" xfId="0" applyNumberFormat="1" applyFont="1" applyFill="1" applyBorder="1"/>
    <x:xf numFmtId="200" fontId="0" fillId="0" borderId="4" xfId="0" applyNumberFormat="1" applyFont="1" applyFill="1" applyBorder="1"/>
    <x:xf numFmtId="203" fontId="0" fillId="0" borderId="2" xfId="0" applyNumberFormat="1" applyFont="1" applyFill="1" applyBorder="1" applyAlignment="1">
      <x:alignment vertical="top"/>
    </x:xf>
    <x:xf numFmtId="204" fontId="0" fillId="0" borderId="2" xfId="0" applyNumberFormat="1" applyFont="1" applyFill="1" applyBorder="1" applyAlignment="1">
      <x:alignment vertical="top"/>
    </x:xf>
    <x:xf numFmtId="205" fontId="0" fillId="0" borderId="2" xfId="0" applyNumberFormat="1" applyFont="1" applyFill="1" applyBorder="1" applyAlignment="1">
      <x:alignment vertical="top"/>
    </x:xf>
    <x:xf numFmtId="200" fontId="0" fillId="0" borderId="2" xfId="0" applyNumberFormat="1" applyFont="1" applyFill="1" applyBorder="1" applyAlignment="1">
      <x:alignment vertical="top"/>
    </x:xf>
    <x:xf numFmtId="203" fontId="0" fillId="0" borderId="3" xfId="0" applyNumberFormat="1" applyFont="1" applyFill="1" applyBorder="1" applyAlignment="1">
      <x:alignment vertical="top"/>
    </x:xf>
    <x:xf numFmtId="204" fontId="0" fillId="0" borderId="3" xfId="0" applyNumberFormat="1" applyFont="1" applyFill="1" applyBorder="1" applyAlignment="1">
      <x:alignment vertical="top"/>
    </x:xf>
    <x:xf numFmtId="205" fontId="0" fillId="0" borderId="3" xfId="0" applyNumberFormat="1" applyFont="1" applyFill="1" applyBorder="1" applyAlignment="1">
      <x:alignment vertical="top"/>
    </x:xf>
    <x:xf numFmtId="200" fontId="0" fillId="0" borderId="3" xfId="0" applyNumberFormat="1" applyFont="1" applyFill="1" applyBorder="1" applyAlignment="1">
      <x:alignment vertical="top"/>
    </x:xf>
    <x:xf numFmtId="203" fontId="0" fillId="0" borderId="4" xfId="0" applyNumberFormat="1" applyFont="1" applyFill="1" applyBorder="1" applyAlignment="1">
      <x:alignment vertical="top"/>
    </x:xf>
    <x:xf numFmtId="204" fontId="0" fillId="0" borderId="4" xfId="0" applyNumberFormat="1" applyFont="1" applyFill="1" applyBorder="1" applyAlignment="1">
      <x:alignment vertical="top"/>
    </x:xf>
    <x:xf numFmtId="205" fontId="0" fillId="0" borderId="4" xfId="0" applyNumberFormat="1" applyFont="1" applyFill="1" applyBorder="1" applyAlignment="1">
      <x:alignment vertical="top"/>
    </x:xf>
    <x:xf numFmtId="200" fontId="0" fillId="0" borderId="4" xfId="0" applyNumberFormat="1" applyFont="1" applyFill="1" applyBorder="1" applyAlignment="1">
      <x:alignment vertical="top"/>
    </x:xf>
    <x:xf numFmtId="206" fontId="0" fillId="0" borderId="0" xfId="0" applyNumberFormat="1" applyFont="1" applyFill="1" applyBorder="1"/>
    <x:xf numFmtId="206" fontId="0" fillId="0" borderId="2" xfId="0" applyNumberFormat="1" applyFont="1" applyFill="1" applyBorder="1"/>
    <x:xf numFmtId="206" fontId="0" fillId="0" borderId="3" xfId="0" applyNumberFormat="1" applyFont="1" applyFill="1" applyBorder="1"/>
    <x:xf numFmtId="206" fontId="0" fillId="0" borderId="4" xfId="0" applyNumberFormat="1" applyFont="1" applyFill="1" applyBorder="1"/>
    <x:xf numFmtId="206" fontId="0" fillId="0" borderId="2" xfId="0" applyNumberFormat="1" applyFont="1" applyFill="1" applyBorder="1" applyAlignment="1">
      <x:alignment vertical="top"/>
    </x:xf>
    <x:xf numFmtId="206" fontId="0" fillId="0" borderId="3" xfId="0" applyNumberFormat="1" applyFont="1" applyFill="1" applyBorder="1" applyAlignment="1">
      <x:alignment vertical="top"/>
    </x:xf>
    <x:xf numFmtId="206" fontId="0" fillId="0" borderId="4" xfId="0" applyNumberFormat="1" applyFont="1" applyFill="1" applyBorder="1" applyAlignment="1">
      <x:alignment vertical="top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207" fontId="0" fillId="0" borderId="0" xfId="0" applyNumberFormat="1" applyFont="1" applyFill="1" applyBorder="1"/>
    <x:xf numFmtId="207" fontId="0" fillId="0" borderId="2" xfId="0" applyNumberFormat="1" applyFont="1" applyFill="1" applyBorder="1"/>
    <x:xf numFmtId="207" fontId="0" fillId="0" borderId="3" xfId="0" applyNumberFormat="1" applyFont="1" applyFill="1" applyBorder="1"/>
    <x:xf numFmtId="207" fontId="0" fillId="0" borderId="4" xfId="0" applyNumberFormat="1" applyFont="1" applyFill="1" applyBorder="1"/>
    <x:xf numFmtId="207" fontId="0" fillId="0" borderId="2" xfId="0" applyNumberFormat="1" applyFont="1" applyFill="1" applyBorder="1" applyAlignment="1">
      <x:alignment vertical="top"/>
    </x:xf>
    <x:xf numFmtId="207" fontId="0" fillId="0" borderId="3" xfId="0" applyNumberFormat="1" applyFont="1" applyFill="1" applyBorder="1" applyAlignment="1">
      <x:alignment vertical="top"/>
    </x:xf>
    <x:xf numFmtId="207" fontId="0" fillId="0" borderId="4" xfId="0" applyNumberFormat="1" applyFont="1" applyFill="1" applyBorder="1" applyAlignment="1">
      <x:alignment vertical="top"/>
    </x:xf>
    <x:xf numFmtId="208" fontId="0" fillId="0" borderId="0" xfId="0" applyNumberFormat="1" applyFont="1" applyFill="1" applyBorder="1"/>
    <x:xf numFmtId="209" fontId="0" fillId="0" borderId="0" xfId="0" applyNumberFormat="1" applyFont="1" applyFill="1" applyBorder="1"/>
    <x:xf numFmtId="208" fontId="0" fillId="0" borderId="2" xfId="0" applyNumberFormat="1" applyFont="1" applyFill="1" applyBorder="1"/>
    <x:xf numFmtId="209" fontId="0" fillId="0" borderId="2" xfId="0" applyNumberFormat="1" applyFont="1" applyFill="1" applyBorder="1"/>
    <x:xf numFmtId="208" fontId="0" fillId="0" borderId="3" xfId="0" applyNumberFormat="1" applyFont="1" applyFill="1" applyBorder="1"/>
    <x:xf numFmtId="209" fontId="0" fillId="0" borderId="3" xfId="0" applyNumberFormat="1" applyFont="1" applyFill="1" applyBorder="1"/>
    <x:xf numFmtId="208" fontId="0" fillId="0" borderId="4" xfId="0" applyNumberFormat="1" applyFont="1" applyFill="1" applyBorder="1"/>
    <x:xf numFmtId="209" fontId="0" fillId="0" borderId="4" xfId="0" applyNumberFormat="1" applyFont="1" applyFill="1" applyBorder="1"/>
    <x:xf numFmtId="208" fontId="0" fillId="0" borderId="2" xfId="0" applyNumberFormat="1" applyFont="1" applyFill="1" applyBorder="1" applyAlignment="1">
      <x:alignment vertical="top"/>
    </x:xf>
    <x:xf numFmtId="209" fontId="0" fillId="0" borderId="2" xfId="0" applyNumberFormat="1" applyFont="1" applyFill="1" applyBorder="1" applyAlignment="1">
      <x:alignment vertical="top"/>
    </x:xf>
    <x:xf numFmtId="208" fontId="0" fillId="0" borderId="3" xfId="0" applyNumberFormat="1" applyFont="1" applyFill="1" applyBorder="1" applyAlignment="1">
      <x:alignment vertical="top"/>
    </x:xf>
    <x:xf numFmtId="209" fontId="0" fillId="0" borderId="3" xfId="0" applyNumberFormat="1" applyFont="1" applyFill="1" applyBorder="1" applyAlignment="1">
      <x:alignment vertical="top"/>
    </x:xf>
    <x:xf numFmtId="208" fontId="0" fillId="0" borderId="4" xfId="0" applyNumberFormat="1" applyFont="1" applyFill="1" applyBorder="1" applyAlignment="1">
      <x:alignment vertical="top"/>
    </x:xf>
    <x:xf numFmtId="209" fontId="0" fillId="0" borderId="4" xfId="0" applyNumberFormat="1" applyFont="1" applyFill="1" applyBorder="1" applyAlignment="1">
      <x:alignment vertical="top"/>
    </x:xf>
    <x:xf numFmtId="200" fontId="0" fillId="0" borderId="2" xfId="0" applyNumberFormat="1" applyFont="1" applyFill="1" applyBorder="1" applyAlignment="1">
      <x:alignment vertical="top" wrapText="1"/>
    </x:xf>
    <x:xf numFmtId="200" fontId="0" fillId="0" borderId="3" xfId="0" applyNumberFormat="1" applyFont="1" applyFill="1" applyBorder="1" applyAlignment="1">
      <x:alignment vertical="top" wrapText="1"/>
    </x:xf>
    <x:xf numFmtId="200" fontId="0" fillId="0" borderId="4" xfId="0" applyNumberFormat="1" applyFont="1" applyFill="1" applyBorder="1" applyAlignment="1">
      <x:alignment vertical="top" wrapText="1"/>
    </x:xf>
    <x:xf numFmtId="210" fontId="0" fillId="0" borderId="0" xfId="0" applyNumberFormat="1" applyFont="1" applyFill="1" applyBorder="1"/>
    <x:xf numFmtId="210" fontId="0" fillId="0" borderId="3" xfId="0" applyNumberFormat="1" applyFont="1" applyFill="1" applyBorder="1"/>
    <x:xf numFmtId="210" fontId="0" fillId="0" borderId="3" xfId="0" applyNumberFormat="1" applyFont="1" applyFill="1" applyBorder="1" applyAlignment="1">
      <x:alignment vertical="top"/>
    </x:xf>
    <x:xf numFmtId="0" fontId="0" fillId="4" borderId="2" xfId="0" applyNumberFormat="1" applyFont="1" applyFill="1" applyBorder="1"/>
    <x:xf numFmtId="0" fontId="0" fillId="4" borderId="3" xfId="0" applyNumberFormat="1" applyFont="1" applyFill="1" applyBorder="1"/>
    <x:xf numFmtId="0" fontId="0" fillId="4" borderId="4" xfId="0" applyNumberFormat="1" applyFont="1" applyFill="1" applyBorder="1"/>
    <x:xf numFmtId="0" fontId="0" fillId="4" borderId="2" xfId="0" applyNumberFormat="1" applyFont="1" applyFill="1" applyBorder="1" applyAlignment="1">
      <x:alignment wrapText="1"/>
    </x:xf>
    <x:xf numFmtId="0" fontId="0" fillId="4" borderId="3" xfId="0" applyNumberFormat="1" applyFont="1" applyFill="1" applyBorder="1" applyAlignment="1">
      <x:alignment wrapText="1"/>
    </x:xf>
    <x:xf numFmtId="0" fontId="0" fillId="4" borderId="4" xfId="0" applyNumberFormat="1" applyFont="1" applyFill="1" applyBorder="1" applyAlignment="1">
      <x:alignment wrapText="1"/>
    </x:xf>
    <x:xf numFmtId="0" fontId="0" fillId="4" borderId="2" xfId="0" applyNumberFormat="1" applyFont="1" applyFill="1" applyBorder="1" applyAlignment="1">
      <x:alignment vertical="center" wrapText="1"/>
    </x:xf>
    <x:xf numFmtId="0" fontId="0" fillId="4" borderId="3" xfId="0" applyNumberFormat="1" applyFont="1" applyFill="1" applyBorder="1" applyAlignment="1">
      <x:alignment vertical="center" wrapText="1"/>
    </x:xf>
    <x:xf numFmtId="0" fontId="0" fillId="4" borderId="4" xfId="0" applyNumberFormat="1" applyFont="1" applyFill="1" applyBorder="1" applyAlignment="1">
      <x:alignment vertical="center" wrapText="1"/>
    </x:xf>
    <x:xf numFmtId="0" fontId="4" fillId="4" borderId="2" xfId="0" applyNumberFormat="1" applyFont="1" applyFill="1" applyBorder="1" applyAlignment="1">
      <x:alignment vertical="center" wrapText="1"/>
    </x:xf>
    <x:xf numFmtId="0" fontId="4" fillId="4" borderId="3" xfId="0" applyNumberFormat="1" applyFont="1" applyFill="1" applyBorder="1" applyAlignment="1">
      <x:alignment vertical="center" wrapText="1"/>
    </x:xf>
    <x:xf numFmtId="0" fontId="4" fillId="4" borderId="4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1">
    <x:dxf>
      <x:font>
        <x:b/>
        <x:color rgb="FF206044"/>
      </x:font>
      <x:fill>
        <x:patternFill patternType="solid">
          <x:bgColor rgb="FFDCEFE5"/>
        </x:patternFill>
      </x:fill>
    </x:dxf>
    <x:dxf>
      <x:font>
        <x:b/>
        <x:color rgb="FF8D352C"/>
      </x:font>
      <x:fill>
        <x:patternFill patternType="solid">
          <x:bgColor rgb="FFF5DDD8"/>
        </x:patternFill>
      </x:fill>
    </x:dxf>
    <x:dxf>
      <x:font>
        <x:b/>
        <x:color rgb="FF206044"/>
      </x:font>
      <x:fill>
        <x:patternFill patternType="solid">
          <x:bgColor rgb="FFDCEFE5"/>
        </x:patternFill>
      </x:fill>
    </x:dxf>
    <x:dxf>
      <x:font>
        <x:b/>
        <x:color rgb="FF8D352C"/>
      </x:font>
      <x:fill>
        <x:patternFill patternType="solid">
          <x:bgColor rgb="FFF5DDD8"/>
        </x:patternFill>
      </x:fill>
    </x:dxf>
    <x:dxf>
      <x:font>
        <x:b/>
        <x:color rgb="FF206044"/>
      </x:font>
      <x:fill>
        <x:patternFill patternType="solid">
          <x:bgColor rgb="FFDCEFE5"/>
        </x:patternFill>
      </x:fill>
    </x:dxf>
    <x:dxf>
      <x:font>
        <x:b/>
      </x:font>
      <x:fill>
        <x:patternFill patternType="solid">
          <x:bgColor rgb="FFF3E7C4"/>
        </x:patternFill>
      </x:fill>
    </x:dxf>
    <x:dxf>
      <x:font>
        <x:b/>
        <x:color rgb="FF8D352C"/>
      </x:font>
      <x:fill>
        <x:patternFill patternType="solid">
          <x:bgColor rgb="FFF5DDD8"/>
        </x:patternFill>
      </x:fill>
    </x:dxf>
    <x:dxf>
      <x:font>
        <x:b/>
        <x:color rgb="FF206044"/>
      </x:font>
      <x:fill>
        <x:patternFill patternType="solid">
          <x:bgColor rgb="FFDCEFE5"/>
        </x:patternFill>
      </x:fill>
    </x:dxf>
    <x:dxf>
      <x:font>
        <x:b/>
        <x:color rgb="FF206044"/>
      </x:font>
      <x:fill>
        <x:patternFill patternType="solid">
          <x:bgColor rgb="FFDCEFE5"/>
        </x:patternFill>
      </x:fill>
    </x:dxf>
    <x:dxf>
      <x:font>
        <x:b/>
        <x:color rgb="FF8D352C"/>
      </x:font>
      <x:fill>
        <x:patternFill patternType="solid">
          <x:bgColor rgb="FFF5DDD8"/>
        </x:patternFill>
      </x:fill>
    </x:dxf>
    <x:dxf>
      <x:font>
        <x:b/>
      </x:font>
      <x:fill>
        <x:patternFill patternType="solid">
          <x:bgColor rgb="FFF3E7C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c30249fc667410a" /><Relationship Type="http://schemas.openxmlformats.org/officeDocument/2006/relationships/theme" Target="/xl/theme/theme1.xml" Id="R0c254ab19e514c22" /><Relationship Type="http://schemas.openxmlformats.org/officeDocument/2006/relationships/sharedStrings" Target="/xl/sharedStrings.xml" Id="Rdd528584c5ed40d5" /><Relationship Type="http://schemas.openxmlformats.org/officeDocument/2006/relationships/worksheet" Target="/xl/worksheets/sheet1.xml" Id="Rd6e39c1f3a6c4c3e" /><Relationship Type="http://schemas.openxmlformats.org/officeDocument/2006/relationships/worksheet" Target="/xl/worksheets/sheet2.xml" Id="R86f518f31cd34443" /><Relationship Type="http://schemas.openxmlformats.org/officeDocument/2006/relationships/worksheet" Target="/xl/worksheets/sheet3.xml" Id="Rb99a1559cedd431a" /><Relationship Type="http://schemas.openxmlformats.org/officeDocument/2006/relationships/worksheet" Target="/xl/worksheets/sheet4.xml" Id="R142432541067489a" /><Relationship Type="http://schemas.openxmlformats.org/officeDocument/2006/relationships/worksheet" Target="/xl/worksheets/sheet5.xml" Id="R55bc9ff13ebd4763" /><Relationship Type="http://schemas.openxmlformats.org/officeDocument/2006/relationships/worksheet" Target="/xl/worksheets/sheet6.xml" Id="R1787d85e55da4fa5" /><Relationship Type="http://schemas.openxmlformats.org/officeDocument/2006/relationships/worksheet" Target="/xl/worksheets/sheet7.xml" Id="R629fbee166234126" /><Relationship Type="http://schemas.microsoft.com/office/2017/10/relationships/person" Target="/xl/persons/person.xml" Id="R80f76f7136654ee7" /></Relationships>
</file>

<file path=xl/persons/person.xml><?xml version="1.0" encoding="utf-8"?>
<xltc:personList xmlns:xltc="http://schemas.microsoft.com/office/spreadsheetml/2018/threadedcomments">
  <xltc:person displayName="User" id="{D4D98A03-75C7-4E6D-9EAE-96CF2B11E341}"/>
</xltc: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B15" dT="2026-09-02T09:12:25.975" personId="{D4D98A03-75C7-4E6D-9EAE-96CF2B11E341}" id="{27C6A004-236C-46FA-9A5D-DDCDEA0F4DC3}">
    <xltc:text>China technology penalty: SemiAnalysis engineering estimate of 2.5× electricity per dense-BF16 FLOP; not a primary metered full-system result.</xltc:text>
  </xltc:threadedComment>
  <xltc:threadedComment ref="B16" dT="2026-09-02T09:12:25.977" personId="{D4D98A03-75C7-4E6D-9EAE-96CF2B11E341}" id="{10228456-4821-4193-B7B7-1C82EF62987A}">
    <xltc:text>Source: https://www.federalreserve.gov/releases/g5a/current/ — 2025 annual average, currency units per USD.</xltc:text>
  </xltc:threadedComment>
</xltc:ThreadedComments>
</file>

<file path=xl/worksheets/_rels/sheet2.xml.rels>&#65279;<?xml version="1.0" encoding="utf-8"?><Relationships xmlns="http://schemas.openxmlformats.org/package/2006/relationships"><Relationship Type="http://schemas.openxmlformats.org/officeDocument/2006/relationships/comments" Target="/xl/comments1.xml" Id="Rc848c0487f9e44c7" /><Relationship Type="http://schemas.openxmlformats.org/officeDocument/2006/relationships/vmlDrawing" Target="/xl/drawings/vmldrawing.vml" Id="Rea76afb547e04883" /><Relationship Type="http://schemas.microsoft.com/office/2017/10/relationships/threadedComment" Target="/xl/threadedcomments/threadedcomment.xml" Id="Rfd7d6f60a85d466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9" hidden="0" customWidth="1"/>
    <x:col min="2" max="2" width="20" hidden="0" customWidth="1"/>
    <x:col min="3" max="3" width="14" hidden="0" customWidth="1"/>
    <x:col min="4" max="4" width="4" hidden="0" customWidth="1"/>
    <x:col min="5" max="5" width="46" hidden="0" customWidth="1"/>
    <x:col min="6" max="6" width="16" hidden="0" customWidth="1"/>
    <x:col min="7" max="7" width="16" hidden="0" customWidth="1"/>
    <x:col min="8" max="8" width="26" hidden="0" customWidth="1"/>
  </x:cols>
  <x:sheetData>
    <x:row r="1" ht="31" customHeight="1">
      <x:c r="A1" s="3" t="str">
        <x:v>Compute cost curve — audit summary</x:v>
      </x:c>
      <x:c r="B1" s="3"/>
      <x:c r="C1" s="3"/>
      <x:c r="D1" s="3"/>
      <x:c r="E1" s="3"/>
      <x:c r="F1" s="3"/>
      <x:c r="G1" s="3"/>
      <x:c r="H1" s="3"/>
    </x:row>
    <x:row r="2" ht="28" customHeight="1">
      <x:c r="A2" s="7" t="str">
        <x:v>Formula-driven controls for capacity boundaries, treemap geometry, source status and scenario outputs.</x:v>
      </x:c>
      <x:c r="B2" s="7"/>
      <x:c r="C2" s="7"/>
      <x:c r="D2" s="7"/>
      <x:c r="E2" s="7"/>
      <x:c r="F2" s="7"/>
      <x:c r="G2" s="7"/>
      <x:c r="H2" s="7"/>
    </x:row>
    <x:row r="4" ht="34" customHeight="1">
      <x:c r="A4" s="11" t="str">
        <x:v>Control</x:v>
      </x:c>
      <x:c r="B4" s="11" t="str">
        <x:v>Result</x:v>
      </x:c>
      <x:c r="C4" s="11" t="str">
        <x:v>Status</x:v>
      </x:c>
      <x:c r="E4" s="11" t="str">
        <x:v>Scenario</x:v>
      </x:c>
      <x:c r="F4" s="11" t="str">
        <x:v>Blocks</x:v>
      </x:c>
      <x:c r="G4" s="11" t="str">
        <x:v>Total MW</x:v>
      </x:c>
      <x:c r="H4" s="11" t="str">
        <x:v>Cost span (USD / 10¹⁹ FLOPs)</x:v>
      </x:c>
    </x:row>
    <x:row r="5">
      <x:c r="A5" s="24" t="str">
        <x:v>Provincial records</x:v>
      </x:c>
      <x:c r="B5" s="24" t="n">
        <x:f>COUNTA('Provincial Capacity'!A5:A35)</x:f>
        <x:v>31</x:v>
      </x:c>
      <x:c r="C5" s="24" t="str">
        <x:f>IF(B5=31,"PASS","FAIL")</x:f>
        <x:v>PASS</x:v>
      </x:c>
      <x:c r="E5" s="24" t="str">
        <x:v>reported_prices__same_technology</x:v>
      </x:c>
      <x:c r="F5" s="24" t="n">
        <x:v>3</x:v>
      </x:c>
      <x:c r="G5" s="62" t="n">
        <x:v>5549.4025</x:v>
      </x:c>
      <x:c r="H5" s="24" t="str">
        <x:v>0.108 – 0.210</x:v>
      </x:c>
    </x:row>
    <x:row r="6">
      <x:c r="A6" s="26" t="str">
        <x:v>Treemap area share</x:v>
      </x:c>
      <x:c r="B6" s="108" t="n">
        <x:f>SUM('Provincial Capacity'!J5:J35)</x:f>
        <x:v>1</x:v>
      </x:c>
      <x:c r="C6" s="26" t="str">
        <x:f>IF(ABS(B6-1)&lt;0.0000001,"PASS","FAIL")</x:f>
        <x:v>PASS</x:v>
      </x:c>
      <x:c r="E6" s="26" t="str">
        <x:v>reported_prices__export_constrained</x:v>
      </x:c>
      <x:c r="F6" s="26" t="n">
        <x:v>3</x:v>
      </x:c>
      <x:c r="G6" s="66" t="n">
        <x:v>5549.402499999999</x:v>
      </x:c>
      <x:c r="H6" s="26" t="str">
        <x:v>0.146 – 0.271</x:v>
      </x:c>
    </x:row>
    <x:row r="7">
      <x:c r="A7" s="26" t="str">
        <x:v>National design IT MW</x:v>
      </x:c>
      <x:c r="B7" s="77" t="n">
        <x:f>SUM('Provincial Capacity'!L5:L35)</x:f>
        <x:v>26074.999999999996</x:v>
      </x:c>
      <x:c r="C7" s="26" t="str">
        <x:f>IF(ABS(B7-26075)&lt;0.01,"PASS","FAIL")</x:f>
        <x:v>PASS</x:v>
      </x:c>
      <x:c r="E7" s="26" t="str">
        <x:v>public_price_proxies__same_technology</x:v>
      </x:c>
      <x:c r="F7" s="26" t="n">
        <x:v>11</x:v>
      </x:c>
      <x:c r="G7" s="66" t="n">
        <x:v>20643.09387322451</x:v>
      </x:c>
      <x:c r="H7" s="26" t="str">
        <x:v>0.098 – 0.225</x:v>
      </x:c>
    </x:row>
    <x:row r="8">
      <x:c r="A8" s="26" t="str">
        <x:v>Hohhot design IT MW</x:v>
      </x:c>
      <x:c r="B8" s="77" t="n">
        <x:f>'Named Capacity'!J5</x:f>
        <x:v>442.5025</x:v>
      </x:c>
      <x:c r="C8" s="26" t="str">
        <x:f>IF(ABS(B8-442.5025)&lt;0.0001,"PASS","FAIL")</x:f>
        <x:v>PASS</x:v>
      </x:c>
      <x:c r="E8" s="31" t="str">
        <x:v>public_price_proxies__export_constrained</x:v>
      </x:c>
      <x:c r="F8" s="31" t="n">
        <x:v>11</x:v>
      </x:c>
      <x:c r="G8" s="70" t="n">
        <x:v>20643.09387322451</x:v>
      </x:c>
      <x:c r="H8" s="31" t="str">
        <x:v>0.098 – 0.563</x:v>
      </x:c>
    </x:row>
    <x:row r="9">
      <x:c r="A9" s="26" t="str">
        <x:v>Hohhot occupied facility MW cross-check</x:v>
      </x:c>
      <x:c r="B9" s="77" t="n">
        <x:f>'Named Capacity'!F5*'Named Capacity'!G5*60.9%*'Named Capacity'!I5*1.21/1000</x:f>
        <x:v>326.0756672249999</x:v>
      </x:c>
      <x:c r="C9" s="26" t="str">
        <x:f>IF(ABS(B9-326)&lt;1,"PASS","FAIL")</x:f>
        <x:v>PASS</x:v>
      </x:c>
    </x:row>
    <x:row r="10">
      <x:c r="A10" s="26" t="str">
        <x:v>Generated scenario rows</x:v>
      </x:c>
      <x:c r="B10" s="26" t="n">
        <x:f>COUNTA('Scenario Outputs'!A5:A32)</x:f>
        <x:v>28</x:v>
      </x:c>
      <x:c r="C10" s="26" t="str">
        <x:f>IF(B10=28,"PASS","FAIL")</x:f>
        <x:v>PASS</x:v>
      </x:c>
    </x:row>
    <x:row r="11" ht="34" customHeight="1">
      <x:c r="A11" s="26" t="str">
        <x:v>Displayed sources verified</x:v>
      </x:c>
      <x:c r="B11" s="26" t="n">
        <x:f>COUNTIFS('Source Verification'!M5:M34,"Yes",'Source Verification'!H5:H34,"verified")+COUNTIFS('Source Verification'!M5:M34,"Yes",'Source Verification'!H5:H34,"verified_derived")</x:f>
        <x:v>24</x:v>
      </x:c>
      <x:c r="C11" s="26" t="str">
        <x:f>IF(B11=COUNTIF('Source Verification'!M5:M34,"Yes"),"PASS","FAIL")</x:f>
        <x:v>PASS</x:v>
      </x:c>
      <x:c r="E11" s="11" t="str">
        <x:v>Material corrections</x:v>
      </x:c>
      <x:c r="F11" s="11"/>
      <x:c r="G11" s="11"/>
      <x:c r="H11" s="11"/>
    </x:row>
    <x:row r="12" ht="36" customHeight="1">
      <x:c r="A12" s="31" t="str">
        <x:v>Independent human review</x:v>
      </x:c>
      <x:c r="B12" s="31" t="n">
        <x:f>COUNTIF('Source Verification'!K5:K34,"complete")</x:f>
        <x:v>0</x:v>
      </x:c>
      <x:c r="C12" s="31" t="str">
        <x:f>IF(B12=0,"PENDING","REVIEWED")</x:f>
        <x:v>PENDING</x:v>
      </x:c>
      <x:c r="E12" s="118" t="str">
        <x:v>Matched date</x:v>
      </x:c>
      <x:c r="F12" s="115" t="str">
        <x:v>CAICT March treemap scaled to the 10.43m-rack March denominator.</x:v>
      </x:c>
      <x:c r="G12" s="115"/>
      <x:c r="H12" s="115"/>
    </x:row>
    <x:row r="13" ht="36" customHeight="1">
      <x:c r="E13" s="119" t="str">
        <x:v>Capacity boundary</x:v>
      </x:c>
      <x:c r="F13" s="116" t="str">
        <x:v>Hohhot corrected from 269.4 MW occupied IT load to 442.5 MW commissioned design IT power.</x:v>
      </x:c>
      <x:c r="G13" s="116"/>
      <x:c r="H13" s="116"/>
    </x:row>
    <x:row r="14" ht="36" customHeight="1">
      <x:c r="E14" s="120" t="str">
        <x:v>Price evidence</x:v>
      </x:c>
      <x:c r="F14" s="117" t="str">
        <x:v>Unsupported Guangdong weighting removed; reported observations and tariff proxies separated.</x:v>
      </x:c>
      <x:c r="G14" s="117"/>
      <x:c r="H14" s="117"/>
    </x:row>
    <x:row r="16" ht="38" customHeight="1">
      <x:c r="A16" s="38" t="str">
        <x:v>Automated reproduction is complete; independent second-human review is pending. See Source Verification for exact locators and per-source methods.</x:v>
      </x:c>
      <x:c r="B16" s="38"/>
      <x:c r="C16" s="38"/>
      <x:c r="D16" s="38"/>
      <x:c r="E16" s="38"/>
      <x:c r="F16" s="38"/>
      <x:c r="G16" s="38"/>
      <x:c r="H16" s="38"/>
    </x:row>
  </x:sheetData>
  <x:mergeCells>
    <x:mergeCell ref="A1:H1"/>
    <x:mergeCell ref="A2:H2"/>
    <x:mergeCell ref="E11:H11"/>
    <x:mergeCell ref="F12:H12"/>
    <x:mergeCell ref="F13:H13"/>
    <x:mergeCell ref="F14:H14"/>
    <x:mergeCell ref="A16:H16"/>
  </x:mergeCells>
  <x:conditionalFormatting sqref="C5:C12">
    <x:cfRule type="containsText" dxfId="8" priority="1" operator="containsText" text="PASS"/>
    <x:cfRule type="containsText" dxfId="9" priority="2" operator="containsText" text="FAIL"/>
    <x:cfRule type="containsText" dxfId="10" priority="3" operator="containsText" text="PENDING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2" hidden="0" customWidth="1"/>
    <x:col min="3" max="3" width="19" hidden="0" customWidth="1"/>
    <x:col min="4" max="4" width="31" hidden="0" customWidth="1"/>
    <x:col min="5" max="5" width="31" hidden="0" customWidth="1"/>
    <x:col min="6" max="6" width="31" hidden="0" customWidth="1"/>
  </x:cols>
  <x:sheetData>
    <x:row r="1" ht="31" customHeight="1">
      <x:c r="A1" s="3" t="str">
        <x:v>Compute cost curve — policy and canonical inputs</x:v>
      </x:c>
      <x:c r="B1" s="3"/>
      <x:c r="C1" s="3"/>
      <x:c r="D1" s="3"/>
      <x:c r="E1" s="3"/>
      <x:c r="F1" s="3"/>
    </x:row>
    <x:row r="2" ht="28" customHeight="1">
      <x:c r="A2" s="7" t="str">
        <x:v>Blue cells are canonical assumptions. Derived outputs elsewhere in the workbook reference these cells.</x:v>
      </x:c>
      <x:c r="B2" s="7"/>
      <x:c r="C2" s="7"/>
      <x:c r="D2" s="7"/>
      <x:c r="E2" s="7"/>
      <x:c r="F2" s="7"/>
    </x:row>
    <x:row r="4" ht="34" customHeight="1">
      <x:c r="A4" s="11" t="str">
        <x:v>Control</x:v>
      </x:c>
      <x:c r="B4" s="11" t="str">
        <x:v>Value</x:v>
      </x:c>
      <x:c r="D4" s="11" t="str">
        <x:v>Capacity standard</x:v>
      </x:c>
      <x:c r="E4" s="11" t="str">
        <x:v>Boundary</x:v>
      </x:c>
      <x:c r="F4" s="11" t="str">
        <x:v>Coverage caveat</x:v>
      </x:c>
    </x:row>
    <x:row r="5" ht="120" customHeight="1">
      <x:c r="A5" s="24" t="str">
        <x:v>Observation cutoff</x:v>
      </x:c>
      <x:c r="B5" s="25" t="n">
        <x:v>46022</x:v>
      </x:c>
      <x:c r="D5" s="35" t="str">
        <x:v>Non-redundant IT or critical-load power that commissioned data-center space is designed to support, excluding cooling and other facility overhead.</x:v>
      </x:c>
      <x:c r="E5" s="35" t="str">
        <x:v>Design rack capacity in commissioned computing centers, converted at 2.5 kW per standard rack. Existing or commissioned wholesale data-center power inventory reported by CBRE; treated as critical IT power delivered to the PDU.</x:v>
      </x:c>
      <x:c r="F5" s="35" t="str">
        <x:v>The power metric is harmonized, but the market universe is not: China covers all commissioned computing centers captured by CAICT, while CBRE covers wholesale colocation inventory in selected North American markets.</x:v>
      </x:c>
    </x:row>
    <x:row r="6">
      <x:c r="A6" s="26" t="str">
        <x:v>Research publication cutoff</x:v>
      </x:c>
      <x:c r="B6" s="27" t="n">
        <x:v>46258</x:v>
      </x:c>
    </x:row>
    <x:row r="7">
      <x:c r="A7" s="26" t="str">
        <x:v>Input SHA-256</x:v>
      </x:c>
      <x:c r="B7" s="28" t="str">
        <x:v>89e6dd1b32d23cfdfa86adc5146997642ed6f7ffd2fb53f12729638cca6b0410</x:v>
      </x:c>
    </x:row>
    <x:row r="8">
      <x:c r="A8" s="26" t="str">
        <x:v>National standard racks</x:v>
      </x:c>
      <x:c r="B8" s="28" t="n">
        <x:v>10430000</x:v>
      </x:c>
    </x:row>
    <x:row r="9">
      <x:c r="A9" s="26" t="str">
        <x:v>Standard rack kW</x:v>
      </x:c>
      <x:c r="B9" s="28" t="n">
        <x:v>2.5</x:v>
      </x:c>
    </x:row>
    <x:row r="10">
      <x:c r="A10" s="26" t="str">
        <x:v>Hours per month</x:v>
      </x:c>
      <x:c r="B10" s="28" t="n">
        <x:v>730</x:v>
      </x:c>
    </x:row>
    <x:row r="11">
      <x:c r="A11" s="26" t="str">
        <x:v>Tariff load factor</x:v>
      </x:c>
      <x:c r="B11" s="29" t="n">
        <x:v>0.9</x:v>
      </x:c>
    </x:row>
    <x:row r="12">
      <x:c r="A12" s="26" t="str">
        <x:v>Common PUE</x:v>
      </x:c>
      <x:c r="B12" s="28" t="n">
        <x:v>1.2</x:v>
      </x:c>
    </x:row>
    <x:row r="13">
      <x:c r="A13" s="26" t="str">
        <x:v>GB200 rack power kW</x:v>
      </x:c>
      <x:c r="B13" s="28" t="n">
        <x:v>120</x:v>
      </x:c>
    </x:row>
    <x:row r="14">
      <x:c r="A14" s="26" t="str">
        <x:v>GB200 dense-BF16 PFLOP/s</x:v>
      </x:c>
      <x:c r="B14" s="28" t="n">
        <x:v>180</x:v>
      </x:c>
    </x:row>
    <x:row r="15">
      <x:c r="A15" s="26" t="str">
        <x:v>China efficiency penalty</x:v>
      </x:c>
      <x:c r="B15" s="30" t="n">
        <x:v>2.5</x:v>
      </x:c>
    </x:row>
    <x:row r="16">
      <x:c r="A16" s="26" t="str">
        <x:v>CNY per USD</x:v>
      </x:c>
      <x:c r="B16" s="30" t="n">
        <x:v>7.1875</x:v>
      </x:c>
    </x:row>
    <x:row r="17">
      <x:c r="A17" s="26" t="str">
        <x:v>CAD per USD</x:v>
      </x:c>
      <x:c r="B17" s="30" t="n">
        <x:v>1.3973</x:v>
      </x:c>
    </x:row>
    <x:row r="18">
      <x:c r="A18" s="26" t="str">
        <x:v>Treemap outer x0</x:v>
      </x:c>
      <x:c r="B18" s="28" t="n">
        <x:v>211</x:v>
      </x:c>
    </x:row>
    <x:row r="19">
      <x:c r="A19" s="26" t="str">
        <x:v>Treemap outer y0</x:v>
      </x:c>
      <x:c r="B19" s="28" t="n">
        <x:v>1068</x:v>
      </x:c>
    </x:row>
    <x:row r="20">
      <x:c r="A20" s="26" t="str">
        <x:v>Treemap outer x1</x:v>
      </x:c>
      <x:c r="B20" s="28" t="n">
        <x:v>1112</x:v>
      </x:c>
    </x:row>
    <x:row r="21">
      <x:c r="A21" s="31" t="str">
        <x:v>Treemap outer y1</x:v>
      </x:c>
      <x:c r="B21" s="32" t="n">
        <x:v>1602</x:v>
      </x:c>
    </x:row>
    <x:row r="25" ht="40" customHeight="1">
      <x:c r="A25" s="38" t="str">
        <x:v>Observation dates are explicit but not identical. Advancing older values to one exact date would require unsupported estimates; the workbook retains the mismatch.</x:v>
      </x:c>
      <x:c r="B25" s="38"/>
      <x:c r="C25" s="38"/>
      <x:c r="D25" s="38"/>
      <x:c r="E25" s="38"/>
      <x:c r="F25" s="38"/>
    </x:row>
  </x:sheetData>
  <x:mergeCells>
    <x:mergeCell ref="A1:F1"/>
    <x:mergeCell ref="A2:F2"/>
    <x:mergeCell ref="A25:F25"/>
  </x:mergeCells>
  <x:pageMargins left="0.7" right="0.7" top="0.75" bottom="0.75" header="0.3" footer="0.3"/>
  <x:legacyDrawing xmlns:r="http://schemas.openxmlformats.org/officeDocument/2006/relationships" r:id="Rea76afb547e0488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9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3" hidden="0" customWidth="1"/>
    <x:col min="11" max="11" width="17" hidden="0" customWidth="1"/>
    <x:col min="12" max="12" width="17" hidden="0" customWidth="1"/>
    <x:col min="13" max="13" width="17" hidden="0" customWidth="1"/>
  </x:cols>
  <x:sheetData>
    <x:row r="1" ht="31" customHeight="1">
      <x:c r="A1" s="3" t="str">
        <x:v>Provincial capacity — reproducible treemap derivation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ht="28" customHeight="1">
      <x:c r="A2" s="7" t="str">
        <x:v>Formula cells reconstruct every width from stored pixel geometry and the matched 31 March 2025 national denominator.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</x:row>
    <x:row r="4" ht="34" customHeight="1">
      <x:c r="A4" s="11" t="str">
        <x:v>Province</x:v>
      </x:c>
      <x:c r="B4" s="11" t="str">
        <x:v>Abbrev.</x:v>
      </x:c>
      <x:c r="C4" s="11" t="str">
        <x:v>x0</x:v>
      </x:c>
      <x:c r="D4" s="11" t="str">
        <x:v>y0</x:v>
      </x:c>
      <x:c r="E4" s="11" t="str">
        <x:v>x1</x:v>
      </x:c>
      <x:c r="F4" s="11" t="str">
        <x:v>y1</x:v>
      </x:c>
      <x:c r="G4" s="11" t="str">
        <x:v>Width px</x:v>
      </x:c>
      <x:c r="H4" s="11" t="str">
        <x:v>Height px</x:v>
      </x:c>
      <x:c r="I4" s="11" t="str">
        <x:v>Area px²</x:v>
      </x:c>
      <x:c r="J4" s="11" t="str">
        <x:v>Area share</x:v>
      </x:c>
      <x:c r="K4" s="11" t="str">
        <x:v>Standard racks</x:v>
      </x:c>
      <x:c r="L4" s="11" t="str">
        <x:v>Design IT MW</x:v>
      </x:c>
      <x:c r="M4" s="11" t="str">
        <x:v>Observation date</x:v>
      </x:c>
    </x:row>
    <x:row r="5">
      <x:c r="A5" s="24" t="str">
        <x:v>Hebei</x:v>
      </x:c>
      <x:c r="B5" s="24" t="str">
        <x:v>冀</x:v>
      </x:c>
      <x:c r="C5" s="24" t="n">
        <x:v>211</x:v>
      </x:c>
      <x:c r="D5" s="24" t="n">
        <x:v>1068</x:v>
      </x:c>
      <x:c r="E5" s="24" t="n">
        <x:v>432</x:v>
      </x:c>
      <x:c r="F5" s="24" t="n">
        <x:v>1392</x:v>
      </x:c>
      <x:c r="G5" s="24" t="n">
        <x:f>E5-C5</x:f>
        <x:v>221</x:v>
      </x:c>
      <x:c r="H5" s="24" t="n">
        <x:f>F5-D5</x:f>
        <x:v>324</x:v>
      </x:c>
      <x:c r="I5" s="24" t="n">
        <x:f>G5*H5</x:f>
        <x:v>71604</x:v>
      </x:c>
      <x:c r="J5" s="60" t="n">
        <x:f>I5/(('Policy &amp; Inputs'!$B$20-'Policy &amp; Inputs'!$B$18)*('Policy &amp; Inputs'!$B$21-'Policy &amp; Inputs'!$B$19))</x:f>
        <x:v>0.14882340470638117</x:v>
      </x:c>
      <x:c r="K5" s="61" t="n">
        <x:f>J5*'Policy &amp; Inputs'!$B$8</x:f>
        <x:v>1552228.1110875555</x:v>
      </x:c>
      <x:c r="L5" s="62" t="n">
        <x:f>K5*'Policy &amp; Inputs'!$B$9/1000</x:f>
        <x:v>3880.5702777188885</x:v>
      </x:c>
      <x:c r="M5" s="63" t="n">
        <x:v>45747</x:v>
      </x:c>
    </x:row>
    <x:row r="6">
      <x:c r="A6" s="26" t="str">
        <x:v>Guangdong</x:v>
      </x:c>
      <x:c r="B6" s="26" t="str">
        <x:v>粤</x:v>
      </x:c>
      <x:c r="C6" s="26" t="n">
        <x:v>211</x:v>
      </x:c>
      <x:c r="D6" s="26" t="n">
        <x:v>1392</x:v>
      </x:c>
      <x:c r="E6" s="26" t="n">
        <x:v>432</x:v>
      </x:c>
      <x:c r="F6" s="26" t="n">
        <x:v>1602</x:v>
      </x:c>
      <x:c r="G6" s="26" t="n">
        <x:f>E6-C6</x:f>
        <x:v>221</x:v>
      </x:c>
      <x:c r="H6" s="26" t="n">
        <x:f>F6-D6</x:f>
        <x:v>210</x:v>
      </x:c>
      <x:c r="I6" s="26" t="n">
        <x:f>G6*H6</x:f>
        <x:v>46410</x:v>
      </x:c>
      <x:c r="J6" s="64" t="n">
        <x:f>I6/(('Policy &amp; Inputs'!$B$20-'Policy &amp; Inputs'!$B$18)*('Policy &amp; Inputs'!$B$21-'Policy &amp; Inputs'!$B$19))</x:f>
        <x:v>0.09645961416154335</x:v>
      </x:c>
      <x:c r="K6" s="65" t="n">
        <x:f>J6*'Policy &amp; Inputs'!$B$8</x:f>
        <x:v>1006073.7757048971</x:v>
      </x:c>
      <x:c r="L6" s="66" t="n">
        <x:f>K6*'Policy &amp; Inputs'!$B$9/1000</x:f>
        <x:v>2515.184439262243</x:v>
      </x:c>
      <x:c r="M6" s="67" t="n">
        <x:v>45747</x:v>
      </x:c>
    </x:row>
    <x:row r="7">
      <x:c r="A7" s="26" t="str">
        <x:v>Jiangsu</x:v>
      </x:c>
      <x:c r="B7" s="26" t="str">
        <x:v>苏</x:v>
      </x:c>
      <x:c r="C7" s="26" t="n">
        <x:v>432</x:v>
      </x:c>
      <x:c r="D7" s="26" t="n">
        <x:v>1068</x:v>
      </x:c>
      <x:c r="E7" s="26" t="n">
        <x:v>612</x:v>
      </x:c>
      <x:c r="F7" s="26" t="n">
        <x:v>1265</x:v>
      </x:c>
      <x:c r="G7" s="26" t="n">
        <x:f>E7-C7</x:f>
        <x:v>180</x:v>
      </x:c>
      <x:c r="H7" s="26" t="n">
        <x:f>F7-D7</x:f>
        <x:v>197</x:v>
      </x:c>
      <x:c r="I7" s="26" t="n">
        <x:f>G7*H7</x:f>
        <x:v>35460</x:v>
      </x:c>
      <x:c r="J7" s="64" t="n">
        <x:f>I7/(('Policy &amp; Inputs'!$B$20-'Policy &amp; Inputs'!$B$18)*('Policy &amp; Inputs'!$B$21-'Policy &amp; Inputs'!$B$19))</x:f>
        <x:v>0.07370088166706157</x:v>
      </x:c>
      <x:c r="K7" s="65" t="n">
        <x:f>J7*'Policy &amp; Inputs'!$B$8</x:f>
        <x:v>768700.1957874522</x:v>
      </x:c>
      <x:c r="L7" s="66" t="n">
        <x:f>K7*'Policy &amp; Inputs'!$B$9/1000</x:f>
        <x:v>1921.7504894686303</x:v>
      </x:c>
      <x:c r="M7" s="67" t="n">
        <x:v>45747</x:v>
      </x:c>
    </x:row>
    <x:row r="8">
      <x:c r="A8" s="26" t="str">
        <x:v>Guizhou</x:v>
      </x:c>
      <x:c r="B8" s="26" t="str">
        <x:v>黔</x:v>
      </x:c>
      <x:c r="C8" s="26" t="n">
        <x:v>432</x:v>
      </x:c>
      <x:c r="D8" s="26" t="n">
        <x:v>1265</x:v>
      </x:c>
      <x:c r="E8" s="26" t="n">
        <x:v>612</x:v>
      </x:c>
      <x:c r="F8" s="26" t="n">
        <x:v>1434</x:v>
      </x:c>
      <x:c r="G8" s="26" t="n">
        <x:f>E8-C8</x:f>
        <x:v>180</x:v>
      </x:c>
      <x:c r="H8" s="26" t="n">
        <x:f>F8-D8</x:f>
        <x:v>169</x:v>
      </x:c>
      <x:c r="I8" s="26" t="n">
        <x:f>G8*H8</x:f>
        <x:v>30420</x:v>
      </x:c>
      <x:c r="J8" s="64" t="n">
        <x:f>I8/(('Policy &amp; Inputs'!$B$20-'Policy &amp; Inputs'!$B$18)*('Policy &amp; Inputs'!$B$21-'Policy &amp; Inputs'!$B$19))</x:f>
        <x:v>0.06322562945042337</x:v>
      </x:c>
      <x:c r="K8" s="65" t="n">
        <x:f>J8*'Policy &amp; Inputs'!$B$8</x:f>
        <x:v>659443.3151679158</x:v>
      </x:c>
      <x:c r="L8" s="66" t="n">
        <x:f>K8*'Policy &amp; Inputs'!$B$9/1000</x:f>
        <x:v>1648.6082879197895</x:v>
      </x:c>
      <x:c r="M8" s="67" t="n">
        <x:v>45747</x:v>
      </x:c>
    </x:row>
    <x:row r="9">
      <x:c r="A9" s="26" t="str">
        <x:v>Inner Mongolia</x:v>
      </x:c>
      <x:c r="B9" s="26" t="str">
        <x:v>蒙</x:v>
      </x:c>
      <x:c r="C9" s="26" t="n">
        <x:v>432</x:v>
      </x:c>
      <x:c r="D9" s="26" t="n">
        <x:v>1434</x:v>
      </x:c>
      <x:c r="E9" s="26" t="n">
        <x:v>612</x:v>
      </x:c>
      <x:c r="F9" s="26" t="n">
        <x:v>1602</x:v>
      </x:c>
      <x:c r="G9" s="26" t="n">
        <x:f>E9-C9</x:f>
        <x:v>180</x:v>
      </x:c>
      <x:c r="H9" s="26" t="n">
        <x:f>F9-D9</x:f>
        <x:v>168</x:v>
      </x:c>
      <x:c r="I9" s="26" t="n">
        <x:f>G9*H9</x:f>
        <x:v>30240</x:v>
      </x:c>
      <x:c r="J9" s="64" t="n">
        <x:f>I9/(('Policy &amp; Inputs'!$B$20-'Policy &amp; Inputs'!$B$18)*('Policy &amp; Inputs'!$B$21-'Policy &amp; Inputs'!$B$19))</x:f>
        <x:v>0.06285151329982916</x:v>
      </x:c>
      <x:c r="K9" s="65" t="n">
        <x:f>J9*'Policy &amp; Inputs'!$B$8</x:f>
        <x:v>655541.2837172181</x:v>
      </x:c>
      <x:c r="L9" s="66" t="n">
        <x:f>K9*'Policy &amp; Inputs'!$B$9/1000</x:f>
        <x:v>1638.8532092930452</x:v>
      </x:c>
      <x:c r="M9" s="67" t="n">
        <x:v>45747</x:v>
      </x:c>
    </x:row>
    <x:row r="10">
      <x:c r="A10" s="26" t="str">
        <x:v>Shanghai</x:v>
      </x:c>
      <x:c r="B10" s="26" t="str">
        <x:v>沪</x:v>
      </x:c>
      <x:c r="C10" s="26" t="n">
        <x:v>612</x:v>
      </x:c>
      <x:c r="D10" s="26" t="n">
        <x:v>1068</x:v>
      </x:c>
      <x:c r="E10" s="26" t="n">
        <x:v>800</x:v>
      </x:c>
      <x:c r="F10" s="26" t="n">
        <x:v>1225</x:v>
      </x:c>
      <x:c r="G10" s="26" t="n">
        <x:f>E10-C10</x:f>
        <x:v>188</x:v>
      </x:c>
      <x:c r="H10" s="26" t="n">
        <x:f>F10-D10</x:f>
        <x:v>157</x:v>
      </x:c>
      <x:c r="I10" s="26" t="n">
        <x:f>G10*H10</x:f>
        <x:v>29516</x:v>
      </x:c>
      <x:c r="J10" s="64" t="n">
        <x:f>I10/(('Policy &amp; Inputs'!$B$20-'Policy &amp; Inputs'!$B$18)*('Policy &amp; Inputs'!$B$21-'Policy &amp; Inputs'!$B$19))</x:f>
        <x:v>0.06134673500521684</x:v>
      </x:c>
      <x:c r="K10" s="65" t="n">
        <x:f>J10*'Policy &amp; Inputs'!$B$8</x:f>
        <x:v>639846.4461044116</x:v>
      </x:c>
      <x:c r="L10" s="66" t="n">
        <x:f>K10*'Policy &amp; Inputs'!$B$9/1000</x:f>
        <x:v>1599.6161152610289</x:v>
      </x:c>
      <x:c r="M10" s="67" t="n">
        <x:v>45747</x:v>
      </x:c>
    </x:row>
    <x:row r="11">
      <x:c r="A11" s="26" t="str">
        <x:v>Zhejiang</x:v>
      </x:c>
      <x:c r="B11" s="26" t="str">
        <x:v>浙</x:v>
      </x:c>
      <x:c r="C11" s="26" t="n">
        <x:v>800</x:v>
      </x:c>
      <x:c r="D11" s="26" t="n">
        <x:v>1068</x:v>
      </x:c>
      <x:c r="E11" s="26" t="n">
        <x:v>958</x:v>
      </x:c>
      <x:c r="F11" s="26" t="n">
        <x:v>1225</x:v>
      </x:c>
      <x:c r="G11" s="26" t="n">
        <x:f>E11-C11</x:f>
        <x:v>158</x:v>
      </x:c>
      <x:c r="H11" s="26" t="n">
        <x:f>F11-D11</x:f>
        <x:v>157</x:v>
      </x:c>
      <x:c r="I11" s="26" t="n">
        <x:f>G11*H11</x:f>
        <x:v>24806</x:v>
      </x:c>
      <x:c r="J11" s="64" t="n">
        <x:f>I11/(('Policy &amp; Inputs'!$B$20-'Policy &amp; Inputs'!$B$18)*('Policy &amp; Inputs'!$B$21-'Policy &amp; Inputs'!$B$19))</x:f>
        <x:v>0.05155736239800139</x:v>
      </x:c>
      <x:c r="K11" s="65" t="n">
        <x:f>J11*'Policy &amp; Inputs'!$B$8</x:f>
        <x:v>537743.2898111545</x:v>
      </x:c>
      <x:c r="L11" s="66" t="n">
        <x:f>K11*'Policy &amp; Inputs'!$B$9/1000</x:f>
        <x:v>1344.3582245278863</x:v>
      </x:c>
      <x:c r="M11" s="67" t="n">
        <x:v>45747</x:v>
      </x:c>
    </x:row>
    <x:row r="12">
      <x:c r="A12" s="26" t="str">
        <x:v>Beijing</x:v>
      </x:c>
      <x:c r="B12" s="26" t="str">
        <x:v>京</x:v>
      </x:c>
      <x:c r="C12" s="26" t="n">
        <x:v>958</x:v>
      </x:c>
      <x:c r="D12" s="26" t="n">
        <x:v>1068</x:v>
      </x:c>
      <x:c r="E12" s="26" t="n">
        <x:v>1112</x:v>
      </x:c>
      <x:c r="F12" s="26" t="n">
        <x:v>1225</x:v>
      </x:c>
      <x:c r="G12" s="26" t="n">
        <x:f>E12-C12</x:f>
        <x:v>154</x:v>
      </x:c>
      <x:c r="H12" s="26" t="n">
        <x:f>F12-D12</x:f>
        <x:v>157</x:v>
      </x:c>
      <x:c r="I12" s="26" t="n">
        <x:f>G12*H12</x:f>
        <x:v>24178</x:v>
      </x:c>
      <x:c r="J12" s="64" t="n">
        <x:f>I12/(('Policy &amp; Inputs'!$B$20-'Policy &amp; Inputs'!$B$18)*('Policy &amp; Inputs'!$B$21-'Policy &amp; Inputs'!$B$19))</x:f>
        <x:v>0.050252112717039325</x:v>
      </x:c>
      <x:c r="K12" s="65" t="n">
        <x:f>J12*'Policy &amp; Inputs'!$B$8</x:f>
        <x:v>524129.53563872015</x:v>
      </x:c>
      <x:c r="L12" s="66" t="n">
        <x:f>K12*'Policy &amp; Inputs'!$B$9/1000</x:f>
        <x:v>1310.3238390968004</x:v>
      </x:c>
      <x:c r="M12" s="67" t="n">
        <x:v>45747</x:v>
      </x:c>
    </x:row>
    <x:row r="13">
      <x:c r="A13" s="26" t="str">
        <x:v>Shanxi</x:v>
      </x:c>
      <x:c r="B13" s="26" t="str">
        <x:v>晋</x:v>
      </x:c>
      <x:c r="C13" s="26" t="n">
        <x:v>612</x:v>
      </x:c>
      <x:c r="D13" s="26" t="n">
        <x:v>1225</x:v>
      </x:c>
      <x:c r="E13" s="26" t="n">
        <x:v>727</x:v>
      </x:c>
      <x:c r="F13" s="26" t="n">
        <x:v>1434</x:v>
      </x:c>
      <x:c r="G13" s="26" t="n">
        <x:f>E13-C13</x:f>
        <x:v>115</x:v>
      </x:c>
      <x:c r="H13" s="26" t="n">
        <x:f>F13-D13</x:f>
        <x:v>209</x:v>
      </x:c>
      <x:c r="I13" s="26" t="n">
        <x:f>G13*H13</x:f>
        <x:v>24035</x:v>
      </x:c>
      <x:c r="J13" s="64" t="n">
        <x:f>I13/(('Policy &amp; Inputs'!$B$20-'Policy &amp; Inputs'!$B$18)*('Policy &amp; Inputs'!$B$21-'Policy &amp; Inputs'!$B$19))</x:f>
        <x:v>0.04995489821962281</x:v>
      </x:c>
      <x:c r="K13" s="65" t="n">
        <x:f>J13*'Policy &amp; Inputs'!$B$8</x:f>
        <x:v>521029.5884306659</x:v>
      </x:c>
      <x:c r="L13" s="66" t="n">
        <x:f>K13*'Policy &amp; Inputs'!$B$9/1000</x:f>
        <x:v>1302.5739710766647</x:v>
      </x:c>
      <x:c r="M13" s="67" t="n">
        <x:v>45747</x:v>
      </x:c>
    </x:row>
    <x:row r="14">
      <x:c r="A14" s="26" t="str">
        <x:v>Shandong</x:v>
      </x:c>
      <x:c r="B14" s="26" t="str">
        <x:v>鲁</x:v>
      </x:c>
      <x:c r="C14" s="26" t="n">
        <x:v>612</x:v>
      </x:c>
      <x:c r="D14" s="26" t="n">
        <x:v>1434</x:v>
      </x:c>
      <x:c r="E14" s="26" t="n">
        <x:v>727</x:v>
      </x:c>
      <x:c r="F14" s="26" t="n">
        <x:v>1602</x:v>
      </x:c>
      <x:c r="G14" s="26" t="n">
        <x:f>E14-C14</x:f>
        <x:v>115</x:v>
      </x:c>
      <x:c r="H14" s="26" t="n">
        <x:f>F14-D14</x:f>
        <x:v>168</x:v>
      </x:c>
      <x:c r="I14" s="26" t="n">
        <x:f>G14*H14</x:f>
        <x:v>19320</x:v>
      </x:c>
      <x:c r="J14" s="64" t="n">
        <x:f>I14/(('Policy &amp; Inputs'!$B$20-'Policy &amp; Inputs'!$B$18)*('Policy &amp; Inputs'!$B$21-'Policy &amp; Inputs'!$B$19))</x:f>
        <x:v>0.04015513349711307</x:v>
      </x:c>
      <x:c r="K14" s="65" t="n">
        <x:f>J14*'Policy &amp; Inputs'!$B$8</x:f>
        <x:v>418818.0423748893</x:v>
      </x:c>
      <x:c r="L14" s="66" t="n">
        <x:f>K14*'Policy &amp; Inputs'!$B$9/1000</x:f>
        <x:v>1047.0451059372233</x:v>
      </x:c>
      <x:c r="M14" s="67" t="n">
        <x:v>45747</x:v>
      </x:c>
    </x:row>
    <x:row r="15">
      <x:c r="A15" s="26" t="str">
        <x:v>Hunan</x:v>
      </x:c>
      <x:c r="B15" s="26" t="str">
        <x:v>湘</x:v>
      </x:c>
      <x:c r="C15" s="26" t="n">
        <x:v>727</x:v>
      </x:c>
      <x:c r="D15" s="26" t="n">
        <x:v>1225</x:v>
      </x:c>
      <x:c r="E15" s="26" t="n">
        <x:v>829</x:v>
      </x:c>
      <x:c r="F15" s="26" t="n">
        <x:v>1354</x:v>
      </x:c>
      <x:c r="G15" s="26" t="n">
        <x:f>E15-C15</x:f>
        <x:v>102</x:v>
      </x:c>
      <x:c r="H15" s="26" t="n">
        <x:f>F15-D15</x:f>
        <x:v>129</x:v>
      </x:c>
      <x:c r="I15" s="26" t="n">
        <x:f>G15*H15</x:f>
        <x:v>13158</x:v>
      </x:c>
      <x:c r="J15" s="64" t="n">
        <x:f>I15/(('Policy &amp; Inputs'!$B$20-'Policy &amp; Inputs'!$B$18)*('Policy &amp; Inputs'!$B$21-'Policy &amp; Inputs'!$B$19))</x:f>
        <x:v>0.027347890608437567</x:v>
      </x:c>
      <x:c r="K15" s="65" t="n">
        <x:f>J15*'Policy &amp; Inputs'!$B$8</x:f>
        <x:v>285238.49904600385</x:v>
      </x:c>
      <x:c r="L15" s="66" t="n">
        <x:f>K15*'Policy &amp; Inputs'!$B$9/1000</x:f>
        <x:v>713.0962476150097</x:v>
      </x:c>
      <x:c r="M15" s="67" t="n">
        <x:v>45747</x:v>
      </x:c>
    </x:row>
    <x:row r="16">
      <x:c r="A16" s="26" t="str">
        <x:v>Chongqing</x:v>
      </x:c>
      <x:c r="B16" s="26" t="str">
        <x:v>渝</x:v>
      </x:c>
      <x:c r="C16" s="26" t="n">
        <x:v>727</x:v>
      </x:c>
      <x:c r="D16" s="26" t="n">
        <x:v>1354</x:v>
      </x:c>
      <x:c r="E16" s="26" t="n">
        <x:v>829</x:v>
      </x:c>
      <x:c r="F16" s="26" t="n">
        <x:v>1478</x:v>
      </x:c>
      <x:c r="G16" s="26" t="n">
        <x:f>E16-C16</x:f>
        <x:v>102</x:v>
      </x:c>
      <x:c r="H16" s="26" t="n">
        <x:f>F16-D16</x:f>
        <x:v>124</x:v>
      </x:c>
      <x:c r="I16" s="26" t="n">
        <x:f>G16*H16</x:f>
        <x:v>12648</x:v>
      </x:c>
      <x:c r="J16" s="64" t="n">
        <x:f>I16/(('Policy &amp; Inputs'!$B$20-'Policy &amp; Inputs'!$B$18)*('Policy &amp; Inputs'!$B$21-'Policy &amp; Inputs'!$B$19))</x:f>
        <x:v>0.026287894848420607</x:v>
      </x:c>
      <x:c r="K16" s="65" t="n">
        <x:f>J16*'Policy &amp; Inputs'!$B$8</x:f>
        <x:v>274182.7432690269</x:v>
      </x:c>
      <x:c r="L16" s="66" t="n">
        <x:f>K16*'Policy &amp; Inputs'!$B$9/1000</x:f>
        <x:v>685.4568581725673</x:v>
      </x:c>
      <x:c r="M16" s="67" t="n">
        <x:v>45747</x:v>
      </x:c>
    </x:row>
    <x:row r="17">
      <x:c r="A17" s="26" t="str">
        <x:v>Sichuan</x:v>
      </x:c>
      <x:c r="B17" s="26" t="str">
        <x:v>川</x:v>
      </x:c>
      <x:c r="C17" s="26" t="n">
        <x:v>727</x:v>
      </x:c>
      <x:c r="D17" s="26" t="n">
        <x:v>1478</x:v>
      </x:c>
      <x:c r="E17" s="26" t="n">
        <x:v>829</x:v>
      </x:c>
      <x:c r="F17" s="26" t="n">
        <x:v>1602</x:v>
      </x:c>
      <x:c r="G17" s="26" t="n">
        <x:f>E17-C17</x:f>
        <x:v>102</x:v>
      </x:c>
      <x:c r="H17" s="26" t="n">
        <x:f>F17-D17</x:f>
        <x:v>124</x:v>
      </x:c>
      <x:c r="I17" s="26" t="n">
        <x:f>G17*H17</x:f>
        <x:v>12648</x:v>
      </x:c>
      <x:c r="J17" s="64" t="n">
        <x:f>I17/(('Policy &amp; Inputs'!$B$20-'Policy &amp; Inputs'!$B$18)*('Policy &amp; Inputs'!$B$21-'Policy &amp; Inputs'!$B$19))</x:f>
        <x:v>0.026287894848420607</x:v>
      </x:c>
      <x:c r="K17" s="65" t="n">
        <x:f>J17*'Policy &amp; Inputs'!$B$8</x:f>
        <x:v>274182.7432690269</x:v>
      </x:c>
      <x:c r="L17" s="66" t="n">
        <x:f>K17*'Policy &amp; Inputs'!$B$9/1000</x:f>
        <x:v>685.4568581725673</x:v>
      </x:c>
      <x:c r="M17" s="67" t="n">
        <x:v>45747</x:v>
      </x:c>
    </x:row>
    <x:row r="18">
      <x:c r="A18" s="26" t="str">
        <x:v>Fujian</x:v>
      </x:c>
      <x:c r="B18" s="26" t="str">
        <x:v>闽</x:v>
      </x:c>
      <x:c r="C18" s="26" t="n">
        <x:v>829</x:v>
      </x:c>
      <x:c r="D18" s="26" t="n">
        <x:v>1225</x:v>
      </x:c>
      <x:c r="E18" s="26" t="n">
        <x:v>931</x:v>
      </x:c>
      <x:c r="F18" s="26" t="n">
        <x:v>1329</x:v>
      </x:c>
      <x:c r="G18" s="26" t="n">
        <x:f>E18-C18</x:f>
        <x:v>102</x:v>
      </x:c>
      <x:c r="H18" s="26" t="n">
        <x:f>F18-D18</x:f>
        <x:v>104</x:v>
      </x:c>
      <x:c r="I18" s="26" t="n">
        <x:f>G18*H18</x:f>
        <x:v>10608</x:v>
      </x:c>
      <x:c r="J18" s="64" t="n">
        <x:f>I18/(('Policy &amp; Inputs'!$B$20-'Policy &amp; Inputs'!$B$18)*('Policy &amp; Inputs'!$B$21-'Policy &amp; Inputs'!$B$19))</x:f>
        <x:v>0.022047911808352767</x:v>
      </x:c>
      <x:c r="K18" s="65" t="n">
        <x:f>J18*'Policy &amp; Inputs'!$B$8</x:f>
        <x:v>229959.72016111936</x:v>
      </x:c>
      <x:c r="L18" s="66" t="n">
        <x:f>K18*'Policy &amp; Inputs'!$B$9/1000</x:f>
        <x:v>574.8993004027984</x:v>
      </x:c>
      <x:c r="M18" s="67" t="n">
        <x:v>45747</x:v>
      </x:c>
    </x:row>
    <x:row r="19">
      <x:c r="A19" s="26" t="str">
        <x:v>Henan</x:v>
      </x:c>
      <x:c r="B19" s="26" t="str">
        <x:v>豫</x:v>
      </x:c>
      <x:c r="C19" s="26" t="n">
        <x:v>931</x:v>
      </x:c>
      <x:c r="D19" s="26" t="n">
        <x:v>1225</x:v>
      </x:c>
      <x:c r="E19" s="26" t="n">
        <x:v>1033</x:v>
      </x:c>
      <x:c r="F19" s="26" t="n">
        <x:v>1329</x:v>
      </x:c>
      <x:c r="G19" s="26" t="n">
        <x:f>E19-C19</x:f>
        <x:v>102</x:v>
      </x:c>
      <x:c r="H19" s="26" t="n">
        <x:f>F19-D19</x:f>
        <x:v>104</x:v>
      </x:c>
      <x:c r="I19" s="26" t="n">
        <x:f>G19*H19</x:f>
        <x:v>10608</x:v>
      </x:c>
      <x:c r="J19" s="64" t="n">
        <x:f>I19/(('Policy &amp; Inputs'!$B$20-'Policy &amp; Inputs'!$B$18)*('Policy &amp; Inputs'!$B$21-'Policy &amp; Inputs'!$B$19))</x:f>
        <x:v>0.022047911808352767</x:v>
      </x:c>
      <x:c r="K19" s="65" t="n">
        <x:f>J19*'Policy &amp; Inputs'!$B$8</x:f>
        <x:v>229959.72016111936</x:v>
      </x:c>
      <x:c r="L19" s="66" t="n">
        <x:f>K19*'Policy &amp; Inputs'!$B$9/1000</x:f>
        <x:v>574.8993004027984</x:v>
      </x:c>
      <x:c r="M19" s="67" t="n">
        <x:v>45747</x:v>
      </x:c>
    </x:row>
    <x:row r="20">
      <x:c r="A20" s="26" t="str">
        <x:v>Hubei</x:v>
      </x:c>
      <x:c r="B20" s="26" t="str">
        <x:v>鄂</x:v>
      </x:c>
      <x:c r="C20" s="26" t="n">
        <x:v>1033</x:v>
      </x:c>
      <x:c r="D20" s="26" t="n">
        <x:v>1225</x:v>
      </x:c>
      <x:c r="E20" s="26" t="n">
        <x:v>1112</x:v>
      </x:c>
      <x:c r="F20" s="26" t="n">
        <x:v>1329</x:v>
      </x:c>
      <x:c r="G20" s="26" t="n">
        <x:f>E20-C20</x:f>
        <x:v>79</x:v>
      </x:c>
      <x:c r="H20" s="26" t="n">
        <x:f>F20-D20</x:f>
        <x:v>104</x:v>
      </x:c>
      <x:c r="I20" s="26" t="n">
        <x:f>G20*H20</x:f>
        <x:v>8216</x:v>
      </x:c>
      <x:c r="J20" s="64" t="n">
        <x:f>I20/(('Policy &amp; Inputs'!$B$20-'Policy &amp; Inputs'!$B$18)*('Policy &amp; Inputs'!$B$21-'Policy &amp; Inputs'!$B$19))</x:f>
        <x:v>0.01707632385156734</x:v>
      </x:c>
      <x:c r="K20" s="65" t="n">
        <x:f>J20*'Policy &amp; Inputs'!$B$8</x:f>
        <x:v>178106.05777184735</x:v>
      </x:c>
      <x:c r="L20" s="66" t="n">
        <x:f>K20*'Policy &amp; Inputs'!$B$9/1000</x:f>
        <x:v>445.2651444296184</x:v>
      </x:c>
      <x:c r="M20" s="67" t="n">
        <x:v>45747</x:v>
      </x:c>
    </x:row>
    <x:row r="21">
      <x:c r="A21" s="26" t="str">
        <x:v>Ningxia</x:v>
      </x:c>
      <x:c r="B21" s="26" t="str">
        <x:v>宁</x:v>
      </x:c>
      <x:c r="C21" s="26" t="n">
        <x:v>829</x:v>
      </x:c>
      <x:c r="D21" s="26" t="n">
        <x:v>1329</x:v>
      </x:c>
      <x:c r="E21" s="26" t="n">
        <x:v>908</x:v>
      </x:c>
      <x:c r="F21" s="26" t="n">
        <x:v>1427</x:v>
      </x:c>
      <x:c r="G21" s="26" t="n">
        <x:f>E21-C21</x:f>
        <x:v>79</x:v>
      </x:c>
      <x:c r="H21" s="26" t="n">
        <x:f>F21-D21</x:f>
        <x:v>98</x:v>
      </x:c>
      <x:c r="I21" s="26" t="n">
        <x:f>G21*H21</x:f>
        <x:v>7742</x:v>
      </x:c>
      <x:c r="J21" s="64" t="n">
        <x:f>I21/(('Policy &amp; Inputs'!$B$20-'Policy &amp; Inputs'!$B$18)*('Policy &amp; Inputs'!$B$21-'Policy &amp; Inputs'!$B$19))</x:f>
        <x:v>0.016091151321669224</x:v>
      </x:c>
      <x:c r="K21" s="65" t="n">
        <x:f>J21*'Policy &amp; Inputs'!$B$8</x:f>
        <x:v>167830.70828501</x:v>
      </x:c>
      <x:c r="L21" s="66" t="n">
        <x:f>K21*'Policy &amp; Inputs'!$B$9/1000</x:f>
        <x:v>419.576770712525</x:v>
      </x:c>
      <x:c r="M21" s="67" t="n">
        <x:v>45747</x:v>
      </x:c>
    </x:row>
    <x:row r="22">
      <x:c r="A22" s="26" t="str">
        <x:v>Guangxi</x:v>
      </x:c>
      <x:c r="B22" s="26" t="str">
        <x:v>桂</x:v>
      </x:c>
      <x:c r="C22" s="26" t="n">
        <x:v>829</x:v>
      </x:c>
      <x:c r="D22" s="26" t="n">
        <x:v>1427</x:v>
      </x:c>
      <x:c r="E22" s="26" t="n">
        <x:v>908</x:v>
      </x:c>
      <x:c r="F22" s="26" t="n">
        <x:v>1517</x:v>
      </x:c>
      <x:c r="G22" s="26" t="n">
        <x:f>E22-C22</x:f>
        <x:v>79</x:v>
      </x:c>
      <x:c r="H22" s="26" t="n">
        <x:f>F22-D22</x:f>
        <x:v>90</x:v>
      </x:c>
      <x:c r="I22" s="26" t="n">
        <x:f>G22*H22</x:f>
        <x:v>7110</x:v>
      </x:c>
      <x:c r="J22" s="64" t="n">
        <x:f>I22/(('Policy &amp; Inputs'!$B$20-'Policy &amp; Inputs'!$B$18)*('Policy &amp; Inputs'!$B$21-'Policy &amp; Inputs'!$B$19))</x:f>
        <x:v>0.014777587948471735</x:v>
      </x:c>
      <x:c r="K22" s="65" t="n">
        <x:f>J22*'Policy &amp; Inputs'!$B$8</x:f>
        <x:v>154130.2423025602</x:v>
      </x:c>
      <x:c r="L22" s="66" t="n">
        <x:f>K22*'Policy &amp; Inputs'!$B$9/1000</x:f>
        <x:v>385.3256057564005</x:v>
      </x:c>
      <x:c r="M22" s="67" t="n">
        <x:v>45747</x:v>
      </x:c>
    </x:row>
    <x:row r="23">
      <x:c r="A23" s="26" t="str">
        <x:v>Tianjin</x:v>
      </x:c>
      <x:c r="B23" s="26" t="str">
        <x:v>津</x:v>
      </x:c>
      <x:c r="C23" s="26" t="n">
        <x:v>829</x:v>
      </x:c>
      <x:c r="D23" s="26" t="n">
        <x:v>1517</x:v>
      </x:c>
      <x:c r="E23" s="26" t="n">
        <x:v>908</x:v>
      </x:c>
      <x:c r="F23" s="26" t="n">
        <x:v>1602</x:v>
      </x:c>
      <x:c r="G23" s="26" t="n">
        <x:f>E23-C23</x:f>
        <x:v>79</x:v>
      </x:c>
      <x:c r="H23" s="26" t="n">
        <x:f>F23-D23</x:f>
        <x:v>85</x:v>
      </x:c>
      <x:c r="I23" s="26" t="n">
        <x:f>G23*H23</x:f>
        <x:v>6715</x:v>
      </x:c>
      <x:c r="J23" s="64" t="n">
        <x:f>I23/(('Policy &amp; Inputs'!$B$20-'Policy &amp; Inputs'!$B$18)*('Policy &amp; Inputs'!$B$21-'Policy &amp; Inputs'!$B$19))</x:f>
        <x:v>0.013956610840223305</x:v>
      </x:c>
      <x:c r="K23" s="65" t="n">
        <x:f>J23*'Policy &amp; Inputs'!$B$8</x:f>
        <x:v>145567.45106352906</x:v>
      </x:c>
      <x:c r="L23" s="66" t="n">
        <x:f>K23*'Policy &amp; Inputs'!$B$9/1000</x:f>
        <x:v>363.9186276588227</x:v>
      </x:c>
      <x:c r="M23" s="67" t="n">
        <x:v>45747</x:v>
      </x:c>
    </x:row>
    <x:row r="24">
      <x:c r="A24" s="26" t="str">
        <x:v>Xinjiang</x:v>
      </x:c>
      <x:c r="B24" s="26" t="str">
        <x:v>新</x:v>
      </x:c>
      <x:c r="C24" s="26" t="n">
        <x:v>908</x:v>
      </x:c>
      <x:c r="D24" s="26" t="n">
        <x:v>1329</x:v>
      </x:c>
      <x:c r="E24" s="26" t="n">
        <x:v>977</x:v>
      </x:c>
      <x:c r="F24" s="26" t="n">
        <x:v>1426</x:v>
      </x:c>
      <x:c r="G24" s="26" t="n">
        <x:f>E24-C24</x:f>
        <x:v>69</x:v>
      </x:c>
      <x:c r="H24" s="26" t="n">
        <x:f>F24-D24</x:f>
        <x:v>97</x:v>
      </x:c>
      <x:c r="I24" s="26" t="n">
        <x:f>G24*H24</x:f>
        <x:v>6693</x:v>
      </x:c>
      <x:c r="J24" s="64" t="n">
        <x:f>I24/(('Policy &amp; Inputs'!$B$20-'Policy &amp; Inputs'!$B$18)*('Policy &amp; Inputs'!$B$21-'Policy &amp; Inputs'!$B$19))</x:f>
        <x:v>0.013910885532928456</x:v>
      </x:c>
      <x:c r="K24" s="65" t="n">
        <x:f>J24*'Policy &amp; Inputs'!$B$8</x:f>
        <x:v>145090.5361084438</x:v>
      </x:c>
      <x:c r="L24" s="66" t="n">
        <x:f>K24*'Policy &amp; Inputs'!$B$9/1000</x:f>
        <x:v>362.7263402711095</x:v>
      </x:c>
      <x:c r="M24" s="67" t="n">
        <x:v>45747</x:v>
      </x:c>
    </x:row>
    <x:row r="25">
      <x:c r="A25" s="26" t="str">
        <x:v>Jiangxi</x:v>
      </x:c>
      <x:c r="B25" s="26" t="str">
        <x:v>赣</x:v>
      </x:c>
      <x:c r="C25" s="26" t="n">
        <x:v>908</x:v>
      </x:c>
      <x:c r="D25" s="26" t="n">
        <x:v>1426</x:v>
      </x:c>
      <x:c r="E25" s="26" t="n">
        <x:v>977</x:v>
      </x:c>
      <x:c r="F25" s="26" t="n">
        <x:v>1517</x:v>
      </x:c>
      <x:c r="G25" s="26" t="n">
        <x:f>E25-C25</x:f>
        <x:v>69</x:v>
      </x:c>
      <x:c r="H25" s="26" t="n">
        <x:f>F25-D25</x:f>
        <x:v>91</x:v>
      </x:c>
      <x:c r="I25" s="26" t="n">
        <x:f>G25*H25</x:f>
        <x:v>6279</x:v>
      </x:c>
      <x:c r="J25" s="64" t="n">
        <x:f>I25/(('Policy &amp; Inputs'!$B$20-'Policy &amp; Inputs'!$B$18)*('Policy &amp; Inputs'!$B$21-'Policy &amp; Inputs'!$B$19))</x:f>
        <x:v>0.013050418386561747</x:v>
      </x:c>
      <x:c r="K25" s="65" t="n">
        <x:f>J25*'Policy &amp; Inputs'!$B$8</x:f>
        <x:v>136115.86377183904</x:v>
      </x:c>
      <x:c r="L25" s="66" t="n">
        <x:f>K25*'Policy &amp; Inputs'!$B$9/1000</x:f>
        <x:v>340.28965942959763</x:v>
      </x:c>
      <x:c r="M25" s="67" t="n">
        <x:v>45747</x:v>
      </x:c>
    </x:row>
    <x:row r="26">
      <x:c r="A26" s="26" t="str">
        <x:v>Shaanxi</x:v>
      </x:c>
      <x:c r="B26" s="26" t="str">
        <x:v>陕</x:v>
      </x:c>
      <x:c r="C26" s="26" t="n">
        <x:v>908</x:v>
      </x:c>
      <x:c r="D26" s="26" t="n">
        <x:v>1517</x:v>
      </x:c>
      <x:c r="E26" s="26" t="n">
        <x:v>977</x:v>
      </x:c>
      <x:c r="F26" s="26" t="n">
        <x:v>1602</x:v>
      </x:c>
      <x:c r="G26" s="26" t="n">
        <x:f>E26-C26</x:f>
        <x:v>69</x:v>
      </x:c>
      <x:c r="H26" s="26" t="n">
        <x:f>F26-D26</x:f>
        <x:v>85</x:v>
      </x:c>
      <x:c r="I26" s="26" t="n">
        <x:f>G26*H26</x:f>
        <x:v>5865</x:v>
      </x:c>
      <x:c r="J26" s="64" t="n">
        <x:f>I26/(('Policy &amp; Inputs'!$B$20-'Policy &amp; Inputs'!$B$18)*('Policy &amp; Inputs'!$B$21-'Policy &amp; Inputs'!$B$19))</x:f>
        <x:v>0.012189951240195038</x:v>
      </x:c>
      <x:c r="K26" s="65" t="n">
        <x:f>J26*'Policy &amp; Inputs'!$B$8</x:f>
        <x:v>127141.19143523426</x:v>
      </x:c>
      <x:c r="L26" s="66" t="n">
        <x:f>K26*'Policy &amp; Inputs'!$B$9/1000</x:f>
        <x:v>317.85297858808565</x:v>
      </x:c>
      <x:c r="M26" s="67" t="n">
        <x:v>45747</x:v>
      </x:c>
    </x:row>
    <x:row r="27">
      <x:c r="A27" s="26" t="str">
        <x:v>Gansu</x:v>
      </x:c>
      <x:c r="B27" s="26" t="str">
        <x:v>陇</x:v>
      </x:c>
      <x:c r="C27" s="26" t="n">
        <x:v>977</x:v>
      </x:c>
      <x:c r="D27" s="26" t="n">
        <x:v>1329</x:v>
      </x:c>
      <x:c r="E27" s="26" t="n">
        <x:v>1046</x:v>
      </x:c>
      <x:c r="F27" s="26" t="n">
        <x:v>1423</x:v>
      </x:c>
      <x:c r="G27" s="26" t="n">
        <x:f>E27-C27</x:f>
        <x:v>69</x:v>
      </x:c>
      <x:c r="H27" s="26" t="n">
        <x:f>F27-D27</x:f>
        <x:v>94</x:v>
      </x:c>
      <x:c r="I27" s="26" t="n">
        <x:f>G27*H27</x:f>
        <x:v>6486</x:v>
      </x:c>
      <x:c r="J27" s="64" t="n">
        <x:f>I27/(('Policy &amp; Inputs'!$B$20-'Policy &amp; Inputs'!$B$18)*('Policy &amp; Inputs'!$B$21-'Policy &amp; Inputs'!$B$19))</x:f>
        <x:v>0.013480651959745103</x:v>
      </x:c>
      <x:c r="K27" s="65" t="n">
        <x:f>J27*'Policy &amp; Inputs'!$B$8</x:f>
        <x:v>140603.1999401414</x:v>
      </x:c>
      <x:c r="L27" s="66" t="n">
        <x:f>K27*'Policy &amp; Inputs'!$B$9/1000</x:f>
        <x:v>351.50799985035354</x:v>
      </x:c>
      <x:c r="M27" s="67" t="n">
        <x:v>45747</x:v>
      </x:c>
    </x:row>
    <x:row r="28">
      <x:c r="A28" s="26" t="str">
        <x:v>Liaoning</x:v>
      </x:c>
      <x:c r="B28" s="26" t="str">
        <x:v>辽</x:v>
      </x:c>
      <x:c r="C28" s="26" t="n">
        <x:v>977</x:v>
      </x:c>
      <x:c r="D28" s="26" t="n">
        <x:v>1423</x:v>
      </x:c>
      <x:c r="E28" s="26" t="n">
        <x:v>1046</x:v>
      </x:c>
      <x:c r="F28" s="26" t="n">
        <x:v>1501</x:v>
      </x:c>
      <x:c r="G28" s="26" t="n">
        <x:f>E28-C28</x:f>
        <x:v>69</x:v>
      </x:c>
      <x:c r="H28" s="26" t="n">
        <x:f>F28-D28</x:f>
        <x:v>78</x:v>
      </x:c>
      <x:c r="I28" s="26" t="n">
        <x:f>G28*H28</x:f>
        <x:v>5382</x:v>
      </x:c>
      <x:c r="J28" s="64" t="n">
        <x:f>I28/(('Policy &amp; Inputs'!$B$20-'Policy &amp; Inputs'!$B$18)*('Policy &amp; Inputs'!$B$21-'Policy &amp; Inputs'!$B$19))</x:f>
        <x:v>0.011186072902767212</x:v>
      </x:c>
      <x:c r="K28" s="65" t="n">
        <x:f>J28*'Policy &amp; Inputs'!$B$8</x:f>
        <x:v>116670.74037586202</x:v>
      </x:c>
      <x:c r="L28" s="66" t="n">
        <x:f>K28*'Policy &amp; Inputs'!$B$9/1000</x:f>
        <x:v>291.676850939655</x:v>
      </x:c>
      <x:c r="M28" s="67" t="n">
        <x:v>45747</x:v>
      </x:c>
    </x:row>
    <x:row r="29">
      <x:c r="A29" s="26" t="str">
        <x:v>Qinghai</x:v>
      </x:c>
      <x:c r="B29" s="26" t="str">
        <x:v>青</x:v>
      </x:c>
      <x:c r="C29" s="26" t="n">
        <x:v>977</x:v>
      </x:c>
      <x:c r="D29" s="26" t="n">
        <x:v>1501</x:v>
      </x:c>
      <x:c r="E29" s="26" t="n">
        <x:v>1046</x:v>
      </x:c>
      <x:c r="F29" s="26" t="n">
        <x:v>1556</x:v>
      </x:c>
      <x:c r="G29" s="26" t="n">
        <x:f>E29-C29</x:f>
        <x:v>69</x:v>
      </x:c>
      <x:c r="H29" s="26" t="n">
        <x:f>F29-D29</x:f>
        <x:v>55</x:v>
      </x:c>
      <x:c r="I29" s="26" t="n">
        <x:f>G29*H29</x:f>
        <x:v>3795</x:v>
      </x:c>
      <x:c r="J29" s="64" t="n">
        <x:f>I29/(('Policy &amp; Inputs'!$B$20-'Policy &amp; Inputs'!$B$18)*('Policy &amp; Inputs'!$B$21-'Policy &amp; Inputs'!$B$19))</x:f>
        <x:v>0.007887615508361496</x:v>
      </x:c>
      <x:c r="K29" s="65" t="n">
        <x:f>J29*'Policy &amp; Inputs'!$B$8</x:f>
        <x:v>82267.8297522104</x:v>
      </x:c>
      <x:c r="L29" s="66" t="n">
        <x:f>K29*'Policy &amp; Inputs'!$B$9/1000</x:f>
        <x:v>205.669574380526</x:v>
      </x:c>
      <x:c r="M29" s="67" t="n">
        <x:v>45747</x:v>
      </x:c>
    </x:row>
    <x:row r="30">
      <x:c r="A30" s="26" t="str">
        <x:v>Heilongjiang</x:v>
      </x:c>
      <x:c r="B30" s="26" t="str">
        <x:v>黑</x:v>
      </x:c>
      <x:c r="C30" s="26" t="n">
        <x:v>977</x:v>
      </x:c>
      <x:c r="D30" s="26" t="n">
        <x:v>1556</x:v>
      </x:c>
      <x:c r="E30" s="26" t="n">
        <x:v>1046</x:v>
      </x:c>
      <x:c r="F30" s="26" t="n">
        <x:v>1602</x:v>
      </x:c>
      <x:c r="G30" s="26" t="n">
        <x:f>E30-C30</x:f>
        <x:v>69</x:v>
      </x:c>
      <x:c r="H30" s="26" t="n">
        <x:f>F30-D30</x:f>
        <x:v>46</x:v>
      </x:c>
      <x:c r="I30" s="26" t="n">
        <x:f>G30*H30</x:f>
        <x:v>3174</x:v>
      </x:c>
      <x:c r="J30" s="64" t="n">
        <x:f>I30/(('Policy &amp; Inputs'!$B$20-'Policy &amp; Inputs'!$B$18)*('Policy &amp; Inputs'!$B$21-'Policy &amp; Inputs'!$B$19))</x:f>
        <x:v>0.006596914788811433</x:v>
      </x:c>
      <x:c r="K30" s="65" t="n">
        <x:f>J30*'Policy &amp; Inputs'!$B$8</x:f>
        <x:v>68805.82124730325</x:v>
      </x:c>
      <x:c r="L30" s="66" t="n">
        <x:f>K30*'Policy &amp; Inputs'!$B$9/1000</x:f>
        <x:v>172.01455311825814</x:v>
      </x:c>
      <x:c r="M30" s="67" t="n">
        <x:v>45747</x:v>
      </x:c>
    </x:row>
    <x:row r="31">
      <x:c r="A31" s="26" t="str">
        <x:v>Anhui</x:v>
      </x:c>
      <x:c r="B31" s="26" t="str">
        <x:v>皖</x:v>
      </x:c>
      <x:c r="C31" s="26" t="n">
        <x:v>1046</x:v>
      </x:c>
      <x:c r="D31" s="26" t="n">
        <x:v>1329</x:v>
      </x:c>
      <x:c r="E31" s="26" t="n">
        <x:v>1112</x:v>
      </x:c>
      <x:c r="F31" s="26" t="n">
        <x:v>1423</x:v>
      </x:c>
      <x:c r="G31" s="26" t="n">
        <x:f>E31-C31</x:f>
        <x:v>66</x:v>
      </x:c>
      <x:c r="H31" s="26" t="n">
        <x:f>F31-D31</x:f>
        <x:v>94</x:v>
      </x:c>
      <x:c r="I31" s="26" t="n">
        <x:f>G31*H31</x:f>
        <x:v>6204</x:v>
      </x:c>
      <x:c r="J31" s="64" t="n">
        <x:f>I31/(('Policy &amp; Inputs'!$B$20-'Policy &amp; Inputs'!$B$18)*('Policy &amp; Inputs'!$B$21-'Policy &amp; Inputs'!$B$19))</x:f>
        <x:v>0.012894536657147489</x:v>
      </x:c>
      <x:c r="K31" s="65" t="n">
        <x:f>J31*'Policy &amp; Inputs'!$B$8</x:f>
        <x:v>134490.01733404832</x:v>
      </x:c>
      <x:c r="L31" s="66" t="n">
        <x:f>K31*'Policy &amp; Inputs'!$B$9/1000</x:f>
        <x:v>336.2250433351208</x:v>
      </x:c>
      <x:c r="M31" s="67" t="n">
        <x:v>45747</x:v>
      </x:c>
    </x:row>
    <x:row r="32">
      <x:c r="A32" s="26" t="str">
        <x:v>Yunnan</x:v>
      </x:c>
      <x:c r="B32" s="26" t="str">
        <x:v>云</x:v>
      </x:c>
      <x:c r="C32" s="26" t="n">
        <x:v>1046</x:v>
      </x:c>
      <x:c r="D32" s="26" t="n">
        <x:v>1423</x:v>
      </x:c>
      <x:c r="E32" s="26" t="n">
        <x:v>1112</x:v>
      </x:c>
      <x:c r="F32" s="26" t="n">
        <x:v>1501</x:v>
      </x:c>
      <x:c r="G32" s="26" t="n">
        <x:f>E32-C32</x:f>
        <x:v>66</x:v>
      </x:c>
      <x:c r="H32" s="26" t="n">
        <x:f>F32-D32</x:f>
        <x:v>78</x:v>
      </x:c>
      <x:c r="I32" s="26" t="n">
        <x:f>G32*H32</x:f>
        <x:v>5148</x:v>
      </x:c>
      <x:c r="J32" s="64" t="n">
        <x:f>I32/(('Policy &amp; Inputs'!$B$20-'Policy &amp; Inputs'!$B$18)*('Policy &amp; Inputs'!$B$21-'Policy &amp; Inputs'!$B$19))</x:f>
        <x:v>0.010699721906994725</x:v>
      </x:c>
      <x:c r="K32" s="65" t="n">
        <x:f>J32*'Policy &amp; Inputs'!$B$8</x:f>
        <x:v>111598.09948995498</x:v>
      </x:c>
      <x:c r="L32" s="66" t="n">
        <x:f>K32*'Policy &amp; Inputs'!$B$9/1000</x:f>
        <x:v>278.99524872488746</x:v>
      </x:c>
      <x:c r="M32" s="67" t="n">
        <x:v>45747</x:v>
      </x:c>
    </x:row>
    <x:row r="33">
      <x:c r="A33" s="26" t="str">
        <x:v>Hainan</x:v>
      </x:c>
      <x:c r="B33" s="26" t="str">
        <x:v>琼</x:v>
      </x:c>
      <x:c r="C33" s="26" t="n">
        <x:v>1046</x:v>
      </x:c>
      <x:c r="D33" s="26" t="n">
        <x:v>1501</x:v>
      </x:c>
      <x:c r="E33" s="26" t="n">
        <x:v>1079</x:v>
      </x:c>
      <x:c r="F33" s="26" t="n">
        <x:v>1569</x:v>
      </x:c>
      <x:c r="G33" s="26" t="n">
        <x:f>E33-C33</x:f>
        <x:v>33</x:v>
      </x:c>
      <x:c r="H33" s="26" t="n">
        <x:f>F33-D33</x:f>
        <x:v>68</x:v>
      </x:c>
      <x:c r="I33" s="26" t="n">
        <x:f>G33*H33</x:f>
        <x:v>2244</x:v>
      </x:c>
      <x:c r="J33" s="64" t="n">
        <x:f>I33/(('Policy &amp; Inputs'!$B$20-'Policy &amp; Inputs'!$B$18)*('Policy &amp; Inputs'!$B$21-'Policy &amp; Inputs'!$B$19))</x:f>
        <x:v>0.004663981344074624</x:v>
      </x:c>
      <x:c r="K33" s="65" t="n">
        <x:f>J33*'Policy &amp; Inputs'!$B$8</x:f>
        <x:v>48645.32541869833</x:v>
      </x:c>
      <x:c r="L33" s="66" t="n">
        <x:f>K33*'Policy &amp; Inputs'!$B$9/1000</x:f>
        <x:v>121.61331354674583</x:v>
      </x:c>
      <x:c r="M33" s="67" t="n">
        <x:v>45747</x:v>
      </x:c>
    </x:row>
    <x:row r="34">
      <x:c r="A34" s="26" t="str">
        <x:v>Jilin</x:v>
      </x:c>
      <x:c r="B34" s="26" t="str">
        <x:v>吉</x:v>
      </x:c>
      <x:c r="C34" s="26" t="n">
        <x:v>1079</x:v>
      </x:c>
      <x:c r="D34" s="26" t="n">
        <x:v>1501</x:v>
      </x:c>
      <x:c r="E34" s="26" t="n">
        <x:v>1112</x:v>
      </x:c>
      <x:c r="F34" s="26" t="n">
        <x:v>1569</x:v>
      </x:c>
      <x:c r="G34" s="26" t="n">
        <x:f>E34-C34</x:f>
        <x:v>33</x:v>
      </x:c>
      <x:c r="H34" s="26" t="n">
        <x:f>F34-D34</x:f>
        <x:v>68</x:v>
      </x:c>
      <x:c r="I34" s="26" t="n">
        <x:f>G34*H34</x:f>
        <x:v>2244</x:v>
      </x:c>
      <x:c r="J34" s="64" t="n">
        <x:f>I34/(('Policy &amp; Inputs'!$B$20-'Policy &amp; Inputs'!$B$18)*('Policy &amp; Inputs'!$B$21-'Policy &amp; Inputs'!$B$19))</x:f>
        <x:v>0.004663981344074624</x:v>
      </x:c>
      <x:c r="K34" s="65" t="n">
        <x:f>J34*'Policy &amp; Inputs'!$B$8</x:f>
        <x:v>48645.32541869833</x:v>
      </x:c>
      <x:c r="L34" s="66" t="n">
        <x:f>K34*'Policy &amp; Inputs'!$B$9/1000</x:f>
        <x:v>121.61331354674583</x:v>
      </x:c>
      <x:c r="M34" s="67" t="n">
        <x:v>45747</x:v>
      </x:c>
    </x:row>
    <x:row r="35">
      <x:c r="A35" s="31" t="str">
        <x:v>Tibet</x:v>
      </x:c>
      <x:c r="B35" s="31" t="str">
        <x:v>藏</x:v>
      </x:c>
      <x:c r="C35" s="31" t="n">
        <x:v>1046</x:v>
      </x:c>
      <x:c r="D35" s="31" t="n">
        <x:v>1569</x:v>
      </x:c>
      <x:c r="E35" s="31" t="n">
        <x:v>1112</x:v>
      </x:c>
      <x:c r="F35" s="31" t="n">
        <x:v>1602</x:v>
      </x:c>
      <x:c r="G35" s="31" t="n">
        <x:f>E35-C35</x:f>
        <x:v>66</x:v>
      </x:c>
      <x:c r="H35" s="31" t="n">
        <x:f>F35-D35</x:f>
        <x:v>33</x:v>
      </x:c>
      <x:c r="I35" s="31" t="n">
        <x:f>G35*H35</x:f>
        <x:v>2178</x:v>
      </x:c>
      <x:c r="J35" s="68" t="n">
        <x:f>I35/(('Policy &amp; Inputs'!$B$20-'Policy &amp; Inputs'!$B$18)*('Policy &amp; Inputs'!$B$21-'Policy &amp; Inputs'!$B$19))</x:f>
        <x:v>0.004526805422190076</x:v>
      </x:c>
      <x:c r="K35" s="69" t="n">
        <x:f>J35*'Policy &amp; Inputs'!$B$8</x:f>
        <x:v>47214.580553442494</x:v>
      </x:c>
      <x:c r="L35" s="70" t="n">
        <x:f>K35*'Policy &amp; Inputs'!$B$9/1000</x:f>
        <x:v>118.03645138360623</x:v>
      </x:c>
      <x:c r="M35" s="71" t="n">
        <x:v>45747</x:v>
      </x:c>
    </x:row>
    <x:row r="36">
      <x:c r="A36" s="40" t="str">
        <x:v>TOTAL — exact tiling and national reconciliation</x:v>
      </x:c>
      <x:c r="B36" s="40"/>
      <x:c r="C36" s="40"/>
      <x:c r="D36" s="40"/>
      <x:c r="E36" s="40"/>
      <x:c r="F36" s="40"/>
      <x:c r="G36" s="40"/>
      <x:c r="H36" s="40"/>
      <x:c r="I36" s="40" t="n">
        <x:f>SUM(I5:I35)</x:f>
        <x:v>481134</x:v>
      </x:c>
      <x:c r="J36" s="42" t="n">
        <x:f>SUM(J5:J35)</x:f>
        <x:v>1</x:v>
      </x:c>
      <x:c r="K36" s="44" t="n">
        <x:f>SUM(K5:K35)</x:f>
        <x:v>10429999.999999994</x:v>
      </x:c>
      <x:c r="L36" s="46" t="n">
        <x:f>SUM(L5:L35)</x:f>
        <x:v>26074.999999999996</x:v>
      </x:c>
      <x:c r="M36" s="40"/>
    </x:row>
  </x:sheetData>
  <x:mergeCells>
    <x:mergeCell ref="A1:M1"/>
    <x:mergeCell ref="A2:M2"/>
    <x:mergeCell ref="A36:H36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34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58" hidden="0" customWidth="1"/>
  </x:cols>
  <x:sheetData>
    <x:row r="1" ht="31" customHeight="1">
      <x:c r="A1" s="3" t="str">
        <x:v>Named capacity — harmonized and excluded records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 ht="28" customHeight="1">
      <x:c r="A2" s="7" t="str">
        <x:v>Only records matching commissioned design IT power can supply displayed chart widths.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</x:row>
    <x:row r="4" ht="34" customHeight="1">
      <x:c r="A4" s="11" t="str">
        <x:v>ID</x:v>
      </x:c>
      <x:c r="B4" s="11" t="str">
        <x:v>Location</x:v>
      </x:c>
      <x:c r="C4" s="11" t="str">
        <x:v>Country</x:v>
      </x:c>
      <x:c r="D4" s="11" t="str">
        <x:v>Metric</x:v>
      </x:c>
      <x:c r="E4" s="11" t="str">
        <x:v>Direct MW</x:v>
      </x:c>
      <x:c r="F4" s="11" t="str">
        <x:v>Data centers</x:v>
      </x:c>
      <x:c r="G4" s="11" t="str">
        <x:v>Racks / center</x:v>
      </x:c>
      <x:c r="H4" s="11" t="str">
        <x:v>Standard racks</x:v>
      </x:c>
      <x:c r="I4" s="11" t="str">
        <x:v>Rack kW</x:v>
      </x:c>
      <x:c r="J4" s="11" t="str">
        <x:v>Computed MW</x:v>
      </x:c>
      <x:c r="K4" s="11" t="str">
        <x:v>Observation date</x:v>
      </x:c>
      <x:c r="L4" s="11" t="str">
        <x:v>Grade</x:v>
      </x:c>
      <x:c r="M4" s="11" t="str">
        <x:v>Included boundary?</x:v>
      </x:c>
      <x:c r="N4" s="11" t="str">
        <x:v>Source IDs / note</x:v>
      </x:c>
    </x:row>
    <x:row r="5">
      <x:c r="A5" s="24" t="str">
        <x:v>hohhot_design_2023</x:v>
      </x:c>
      <x:c r="B5" s="24" t="str">
        <x:v>Hohhot / Helinger documented subset</x:v>
      </x:c>
      <x:c r="C5" s="24" t="str">
        <x:v>China</x:v>
      </x:c>
      <x:c r="D5" s="24" t="str">
        <x:v>commissioned_design_it_power_mw</x:v>
      </x:c>
      <x:c r="E5" s="76"/>
      <x:c r="F5" s="76" t="n">
        <x:v>11</x:v>
      </x:c>
      <x:c r="G5" s="76" t="n">
        <x:v>16091</x:v>
      </x:c>
      <x:c r="H5" s="76"/>
      <x:c r="I5" s="76" t="n">
        <x:v>2.5</x:v>
      </x:c>
      <x:c r="J5" s="76" t="n">
        <x:f>IF(E5&gt;0,E5,IF(H5&gt;0,H5*IF(I5&gt;0,I5,'Policy &amp; Inputs'!$B$9)/1000,F5*G5*IF(I5&gt;0,I5,'Policy &amp; Inputs'!$B$9)/1000))</x:f>
        <x:v>442.5025</x:v>
      </x:c>
      <x:c r="K5" s="63" t="n">
        <x:v>45291</x:v>
      </x:c>
      <x:c r="L5" s="24" t="str">
        <x:v>A-derived</x:v>
      </x:c>
      <x:c r="M5" s="24" t="str">
        <x:v>Yes</x:v>
      </x:c>
      <x:c r="N5" s="79" t="str">
        <x:v>hohhot_capacity_2023 — Design capacity is 442.5 MW. The source's 326 MW campus power figure reflects 60.9% rack utilization and PUE 1.21, so it is not used as design capacity.</x:v>
      </x:c>
    </x:row>
    <x:row r="6">
      <x:c r="A6" s="26" t="str">
        <x:v>montreal_cbre_2025</x:v>
      </x:c>
      <x:c r="B6" s="26" t="str">
        <x:v>Montreal, Quebec</x:v>
      </x:c>
      <x:c r="C6" s="26" t="str">
        <x:v>Canada</x:v>
      </x:c>
      <x:c r="D6" s="26" t="str">
        <x:v>commissioned_design_it_power_mw</x:v>
      </x:c>
      <x:c r="E6" s="77" t="n">
        <x:v>229.5</x:v>
      </x:c>
      <x:c r="F6" s="77"/>
      <x:c r="G6" s="77"/>
      <x:c r="H6" s="77"/>
      <x:c r="I6" s="77"/>
      <x:c r="J6" s="77" t="n">
        <x:f>IF(E6&gt;0,E6,IF(H6&gt;0,H6*IF(I6&gt;0,I6,'Policy &amp; Inputs'!$B$9)/1000,F6*G6*IF(I6&gt;0,I6,'Policy &amp; Inputs'!$B$9)/1000))</x:f>
        <x:v>229.5</x:v>
      </x:c>
      <x:c r="K6" s="67" t="n">
        <x:v>46022</x:v>
      </x:c>
      <x:c r="L6" s="26" t="str">
        <x:v>B</x:v>
      </x:c>
      <x:c r="M6" s="26" t="str">
        <x:v>Yes</x:v>
      </x:c>
      <x:c r="N6" s="80" t="str">
        <x:v>cbre_inventory_h2_2025; cbre_capacity_glossary — Commissioned wholesale inventory; narrower market coverage than the China denominator.</x:v>
      </x:c>
    </x:row>
    <x:row r="7">
      <x:c r="A7" s="26" t="str">
        <x:v>dallas_cbre_2025</x:v>
      </x:c>
      <x:c r="B7" s="26" t="str">
        <x:v>Dallas–Fort Worth</x:v>
      </x:c>
      <x:c r="C7" s="26" t="str">
        <x:v>United States</x:v>
      </x:c>
      <x:c r="D7" s="26" t="str">
        <x:v>commissioned_design_it_power_mw</x:v>
      </x:c>
      <x:c r="E7" s="77" t="n">
        <x:v>1067.3</x:v>
      </x:c>
      <x:c r="F7" s="77"/>
      <x:c r="G7" s="77"/>
      <x:c r="H7" s="77"/>
      <x:c r="I7" s="77"/>
      <x:c r="J7" s="77" t="n">
        <x:f>IF(E7&gt;0,E7,IF(H7&gt;0,H7*IF(I7&gt;0,I7,'Policy &amp; Inputs'!$B$9)/1000,F7*G7*IF(I7&gt;0,I7,'Policy &amp; Inputs'!$B$9)/1000))</x:f>
        <x:v>1067.3</x:v>
      </x:c>
      <x:c r="K7" s="67" t="n">
        <x:v>46022</x:v>
      </x:c>
      <x:c r="L7" s="26" t="str">
        <x:v>B</x:v>
      </x:c>
      <x:c r="M7" s="26" t="str">
        <x:v>Yes</x:v>
      </x:c>
      <x:c r="N7" s="80" t="str">
        <x:v>cbre_inventory_h2_2025; cbre_capacity_glossary — Commissioned wholesale inventory; narrower market coverage than the China denominator.</x:v>
      </x:c>
    </x:row>
    <x:row r="8">
      <x:c r="A8" s="26" t="str">
        <x:v>virginia_cbre_2025</x:v>
      </x:c>
      <x:c r="B8" s="26" t="str">
        <x:v>Northern Virginia</x:v>
      </x:c>
      <x:c r="C8" s="26" t="str">
        <x:v>United States</x:v>
      </x:c>
      <x:c r="D8" s="26" t="str">
        <x:v>commissioned_design_it_power_mw</x:v>
      </x:c>
      <x:c r="E8" s="77" t="n">
        <x:v>4039.6</x:v>
      </x:c>
      <x:c r="F8" s="77"/>
      <x:c r="G8" s="77"/>
      <x:c r="H8" s="77"/>
      <x:c r="I8" s="77"/>
      <x:c r="J8" s="77" t="n">
        <x:f>IF(E8&gt;0,E8,IF(H8&gt;0,H8*IF(I8&gt;0,I8,'Policy &amp; Inputs'!$B$9)/1000,F8*G8*IF(I8&gt;0,I8,'Policy &amp; Inputs'!$B$9)/1000))</x:f>
        <x:v>4039.6</x:v>
      </x:c>
      <x:c r="K8" s="67" t="n">
        <x:v>46022</x:v>
      </x:c>
      <x:c r="L8" s="26" t="str">
        <x:v>B</x:v>
      </x:c>
      <x:c r="M8" s="26" t="str">
        <x:v>Yes</x:v>
      </x:c>
      <x:c r="N8" s="80" t="str">
        <x:v>cbre_inventory_h2_2025; cbre_capacity_glossary — Commissioned wholesale inventory; narrower market coverage than the China denominator.</x:v>
      </x:c>
    </x:row>
    <x:row r="9">
      <x:c r="A9" s="26" t="str">
        <x:v>guian_powered_on_2025</x:v>
      </x:c>
      <x:c r="B9" s="26" t="str">
        <x:v>Gui'an powered-on racks</x:v>
      </x:c>
      <x:c r="C9" s="26" t="str">
        <x:v>China</x:v>
      </x:c>
      <x:c r="D9" s="26" t="str">
        <x:v>occupied_it_power_mw</x:v>
      </x:c>
      <x:c r="E9" s="77"/>
      <x:c r="F9" s="77"/>
      <x:c r="G9" s="77"/>
      <x:c r="H9" s="77" t="n">
        <x:v>137400</x:v>
      </x:c>
      <x:c r="I9" s="77" t="n">
        <x:v>2.5</x:v>
      </x:c>
      <x:c r="J9" s="77" t="n">
        <x:f>IF(E9&gt;0,E9,IF(H9&gt;0,H9*IF(I9&gt;0,I9,'Policy &amp; Inputs'!$B$9)/1000,F9*G9*IF(I9&gt;0,I9,'Policy &amp; Inputs'!$B$9)/1000))</x:f>
        <x:v>343.5</x:v>
      </x:c>
      <x:c r="K9" s="67" t="n">
        <x:v>45716</x:v>
      </x:c>
      <x:c r="L9" s="26" t="str">
        <x:v>excluded-boundary-mismatch</x:v>
      </x:c>
      <x:c r="M9" s="26" t="str">
        <x:v>No</x:v>
      </x:c>
      <x:c r="N9" s="80" t="str">
        <x:v>guian_capacity_2025 — Powered-on racks are not the harmonized commissioned design-capacity metric.</x:v>
      </x:c>
    </x:row>
    <x:row r="10">
      <x:c r="A10" s="31" t="str">
        <x:v>saudi_operational_2025</x:v>
      </x:c>
      <x:c r="B10" s="31" t="str">
        <x:v>Saudi Arabia</x:v>
      </x:c>
      <x:c r="C10" s="31" t="str">
        <x:v>Saudi Arabia</x:v>
      </x:c>
      <x:c r="D10" s="31" t="str">
        <x:v>operational_capacity_unspecified_mw</x:v>
      </x:c>
      <x:c r="E10" s="78" t="n">
        <x:v>440</x:v>
      </x:c>
      <x:c r="F10" s="78"/>
      <x:c r="G10" s="78"/>
      <x:c r="H10" s="78"/>
      <x:c r="I10" s="78"/>
      <x:c r="J10" s="78" t="n">
        <x:f>IF(E10&gt;0,E10,IF(H10&gt;0,H10*IF(I10&gt;0,I10,'Policy &amp; Inputs'!$B$9)/1000,F10*G10*IF(I10&gt;0,I10,'Policy &amp; Inputs'!$B$9)/1000))</x:f>
        <x:v>440</x:v>
      </x:c>
      <x:c r="K10" s="71" t="n">
        <x:v>46022</x:v>
      </x:c>
      <x:c r="L10" s="31" t="str">
        <x:v>excluded-boundary-unclear</x:v>
      </x:c>
      <x:c r="M10" s="31" t="str">
        <x:v>No</x:v>
      </x:c>
      <x:c r="N10" s="81" t="str">
        <x:v>saudi_capacity_2025 — The public claim does not establish the same critical IT-power boundary.</x:v>
      </x:c>
    </x:row>
  </x:sheetData>
  <x:mergeCells>
    <x:mergeCell ref="A1:N1"/>
    <x:mergeCell ref="A2:N2"/>
  </x:mergeCells>
  <x:conditionalFormatting sqref="M5:M10">
    <x:cfRule type="containsText" dxfId="0" priority="1" operator="containsText" text="Yes"/>
    <x:cfRule type="containsText" dxfId="1" priority="2" operator="containsText" text="No"/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6" hidden="0" customWidth="1"/>
    <x:col min="3" max="3" width="16" hidden="0" customWidth="1"/>
    <x:col min="4" max="4" width="28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54" hidden="0" customWidth="1"/>
  </x:cols>
  <x:sheetData>
    <x:row r="1" ht="31" customHeight="1">
      <x:c r="A1" s="3" t="str">
        <x:v>Price evidence — reported observations and constructed proxies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</x:row>
    <x:row r="2" ht="28" customHeight="1">
      <x:c r="A2" s="7" t="str">
        <x:v>The evidence class remains visible. Local all-in prices and USD conversions are workbook formulas.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</x:row>
    <x:row r="4" ht="34" customHeight="1">
      <x:c r="A4" s="11" t="str">
        <x:v>ID</x:v>
      </x:c>
      <x:c r="B4" s="11" t="str">
        <x:v>Location</x:v>
      </x:c>
      <x:c r="C4" s="11" t="str">
        <x:v>Country</x:v>
      </x:c>
      <x:c r="D4" s="11" t="str">
        <x:v>Evidence class</x:v>
      </x:c>
      <x:c r="E4" s="11" t="str">
        <x:v>Formula type</x:v>
      </x:c>
      <x:c r="F4" s="11" t="str">
        <x:v>Currency</x:v>
      </x:c>
      <x:c r="G4" s="11" t="str">
        <x:v>Energy / direct</x:v>
      </x:c>
      <x:c r="H4" s="11" t="str">
        <x:v>Demand / kW-mo</x:v>
      </x:c>
      <x:c r="I4" s="11" t="str">
        <x:v>Credit / kW-mo</x:v>
      </x:c>
      <x:c r="J4" s="11" t="str">
        <x:v>Local all-in / kWh</x:v>
      </x:c>
      <x:c r="K4" s="11" t="str">
        <x:v>FX / USD</x:v>
      </x:c>
      <x:c r="L4" s="11" t="str">
        <x:v>USD / kWh</x:v>
      </x:c>
      <x:c r="M4" s="11" t="str">
        <x:v>Effective date</x:v>
      </x:c>
      <x:c r="N4" s="11" t="str">
        <x:v>Eligibility</x:v>
      </x:c>
      <x:c r="O4" s="11" t="str">
        <x:v>Source IDs</x:v>
      </x:c>
      <x:c r="P4" s="11" t="str">
        <x:v>Note</x:v>
      </x:c>
    </x:row>
    <x:row r="5">
      <x:c r="A5" s="24" t="str">
        <x:v>hohhot_reported_2025</x:v>
      </x:c>
      <x:c r="B5" s="24" t="str">
        <x:v>Hohhot / Helinger</x:v>
      </x:c>
      <x:c r="C5" s="24" t="str">
        <x:v>China</x:v>
      </x:c>
      <x:c r="D5" s="24" t="str">
        <x:v>reported_delivered_price</x:v>
      </x:c>
      <x:c r="E5" s="24" t="str">
        <x:v>direct</x:v>
      </x:c>
      <x:c r="F5" s="24" t="str">
        <x:v>CNY</x:v>
      </x:c>
      <x:c r="G5" s="86" t="n">
        <x:v>0.35</x:v>
      </x:c>
      <x:c r="H5" s="86"/>
      <x:c r="I5" s="86" t="n">
        <x:v>0</x:v>
      </x:c>
      <x:c r="J5" s="86" t="n">
        <x:f>IF(E5="direct",G5,G5+(H5-I5)/('Policy &amp; Inputs'!$B$10*'Policy &amp; Inputs'!$B$11))</x:f>
        <x:v>0.35</x:v>
      </x:c>
      <x:c r="K5" s="86" t="n">
        <x:f>IF(F5="CNY",'Policy &amp; Inputs'!$B$16,IF(F5="CAD",'Policy &amp; Inputs'!$B$17,1))</x:f>
        <x:v>7.1875</x:v>
      </x:c>
      <x:c r="L5" s="86" t="n">
        <x:f>J5/K5</x:f>
        <x:v>0.04869565217391304</x:v>
      </x:c>
      <x:c r="M5" s="63" t="n">
        <x:v>45856</x:v>
      </x:c>
      <x:c r="N5" s="24" t="str">
        <x:v>included</x:v>
      </x:c>
      <x:c r="O5" s="24" t="str">
        <x:v>hohhot_price_2025</x:v>
      </x:c>
      <x:c r="P5" s="79" t="str">
        <x:v>Reported delivered green-power transaction price, described as stable at approximately CNY 0.35/kWh.</x:v>
      </x:c>
    </x:row>
    <x:row r="6">
      <x:c r="A6" s="26" t="str">
        <x:v>mongxi_tariff_2025_06</x:v>
      </x:c>
      <x:c r="B6" s="26" t="str">
        <x:v>Inner Mongolia</x:v>
      </x:c>
      <x:c r="C6" s="26" t="str">
        <x:v>China</x:v>
      </x:c>
      <x:c r="D6" s="26" t="str">
        <x:v>constructed_public_tariff_proxy</x:v>
      </x:c>
      <x:c r="E6" s="26" t="str">
        <x:v>energy_plus_demand</x:v>
      </x:c>
      <x:c r="F6" s="26" t="str">
        <x:v>CNY</x:v>
      </x:c>
      <x:c r="G6" s="87" t="n">
        <x:v>0.442525</x:v>
      </x:c>
      <x:c r="H6" s="87" t="n">
        <x:v>31.2</x:v>
      </x:c>
      <x:c r="I6" s="87" t="n">
        <x:v>0</x:v>
      </x:c>
      <x:c r="J6" s="87" t="n">
        <x:f>IF(E6="direct",G6,G6+(H6-I6)/('Policy &amp; Inputs'!$B$10*'Policy &amp; Inputs'!$B$11))</x:f>
        <x:v>0.49001358447488585</x:v>
      </x:c>
      <x:c r="K6" s="87" t="n">
        <x:f>IF(F6="CNY",'Policy &amp; Inputs'!$B$16,IF(F6="CAD",'Policy &amp; Inputs'!$B$17,1))</x:f>
        <x:v>7.1875</x:v>
      </x:c>
      <x:c r="L6" s="87" t="n">
        <x:f>J6/K6</x:f>
        <x:v>0.06817580305737542</x:v>
      </x:c>
      <x:c r="M6" s="67" t="n">
        <x:v>45838</x:v>
      </x:c>
      <x:c r="N6" s="26" t="str">
        <x:v>included</x:v>
      </x:c>
      <x:c r="O6" s="26" t="str">
        <x:v>mongxi_tariff_2025_06</x:v>
      </x:c>
      <x:c r="P6" s="80" t="str">
        <x:v>110 kV two-part, non-time-of-use energy price plus maximum-demand charge at the common 90% load factor.</x:v>
      </x:c>
    </x:row>
    <x:row r="7">
      <x:c r="A7" s="26" t="str">
        <x:v>zhejiang_tariff_2025_06</x:v>
      </x:c>
      <x:c r="B7" s="26" t="str">
        <x:v>Zhejiang</x:v>
      </x:c>
      <x:c r="C7" s="26" t="str">
        <x:v>China</x:v>
      </x:c>
      <x:c r="D7" s="26" t="str">
        <x:v>constructed_public_tariff_proxy</x:v>
      </x:c>
      <x:c r="E7" s="26" t="str">
        <x:v>energy_plus_demand</x:v>
      </x:c>
      <x:c r="F7" s="26" t="str">
        <x:v>CNY</x:v>
      </x:c>
      <x:c r="G7" s="87" t="n">
        <x:v>0.5672</x:v>
      </x:c>
      <x:c r="H7" s="87" t="n">
        <x:v>41.6</x:v>
      </x:c>
      <x:c r="I7" s="87" t="n">
        <x:v>0</x:v>
      </x:c>
      <x:c r="J7" s="87" t="n">
        <x:f>IF(E7="direct",G7,G7+(H7-I7)/('Policy &amp; Inputs'!$B$10*'Policy &amp; Inputs'!$B$11))</x:f>
        <x:v>0.6305181126331811</x:v>
      </x:c>
      <x:c r="K7" s="87" t="n">
        <x:f>IF(F7="CNY",'Policy &amp; Inputs'!$B$16,IF(F7="CAD",'Policy &amp; Inputs'!$B$17,1))</x:f>
        <x:v>7.1875</x:v>
      </x:c>
      <x:c r="L7" s="87" t="n">
        <x:f>J7/K7</x:f>
        <x:v>0.08772425914896433</x:v>
      </x:c>
      <x:c r="M7" s="67" t="n">
        <x:v>45838</x:v>
      </x:c>
      <x:c r="N7" s="26" t="str">
        <x:v>included</x:v>
      </x:c>
      <x:c r="O7" s="26" t="str">
        <x:v>zhejiang_tariff_2025_06</x:v>
      </x:c>
      <x:c r="P7" s="80" t="str"/>
    </x:row>
    <x:row r="8">
      <x:c r="A8" s="26" t="str">
        <x:v>guizhou_tariff_2025_06</x:v>
      </x:c>
      <x:c r="B8" s="26" t="str">
        <x:v>Guizhou</x:v>
      </x:c>
      <x:c r="C8" s="26" t="str">
        <x:v>China</x:v>
      </x:c>
      <x:c r="D8" s="26" t="str">
        <x:v>constructed_public_tariff_proxy</x:v>
      </x:c>
      <x:c r="E8" s="26" t="str">
        <x:v>energy_plus_demand</x:v>
      </x:c>
      <x:c r="F8" s="26" t="str">
        <x:v>CNY</x:v>
      </x:c>
      <x:c r="G8" s="87" t="n">
        <x:v>0.583744</x:v>
      </x:c>
      <x:c r="H8" s="87" t="n">
        <x:v>31</x:v>
      </x:c>
      <x:c r="I8" s="87" t="n">
        <x:v>0</x:v>
      </x:c>
      <x:c r="J8" s="87" t="n">
        <x:f>IF(E8="direct",G8,G8+(H8-I8)/('Policy &amp; Inputs'!$B$10*'Policy &amp; Inputs'!$B$11))</x:f>
        <x:v>0.6309281704718417</x:v>
      </x:c>
      <x:c r="K8" s="87" t="n">
        <x:f>IF(F8="CNY",'Policy &amp; Inputs'!$B$16,IF(F8="CAD",'Policy &amp; Inputs'!$B$17,1))</x:f>
        <x:v>7.1875</x:v>
      </x:c>
      <x:c r="L8" s="87" t="n">
        <x:f>J8/K8</x:f>
        <x:v>0.0877813106743432</x:v>
      </x:c>
      <x:c r="M8" s="67" t="n">
        <x:v>45838</x:v>
      </x:c>
      <x:c r="N8" s="26" t="str">
        <x:v>included</x:v>
      </x:c>
      <x:c r="O8" s="26" t="str">
        <x:v>guizhou_tariff_2025_06</x:v>
      </x:c>
      <x:c r="P8" s="80" t="str"/>
    </x:row>
    <x:row r="9">
      <x:c r="A9" s="26" t="str">
        <x:v>hebei_tariff_2025_04</x:v>
      </x:c>
      <x:c r="B9" s="26" t="str">
        <x:v>Hebei</x:v>
      </x:c>
      <x:c r="C9" s="26" t="str">
        <x:v>China</x:v>
      </x:c>
      <x:c r="D9" s="26" t="str">
        <x:v>constructed_public_tariff_proxy</x:v>
      </x:c>
      <x:c r="E9" s="26" t="str">
        <x:v>energy_plus_demand</x:v>
      </x:c>
      <x:c r="F9" s="26" t="str">
        <x:v>CNY</x:v>
      </x:c>
      <x:c r="G9" s="87" t="n">
        <x:v>0.58196875</x:v>
      </x:c>
      <x:c r="H9" s="87" t="n">
        <x:v>34.6</x:v>
      </x:c>
      <x:c r="I9" s="87" t="n">
        <x:v>0</x:v>
      </x:c>
      <x:c r="J9" s="87" t="n">
        <x:f>IF(E9="direct",G9,G9+(H9-I9)/('Policy &amp; Inputs'!$B$10*'Policy &amp; Inputs'!$B$11))</x:f>
        <x:v>0.6346323725266363</x:v>
      </x:c>
      <x:c r="K9" s="87" t="n">
        <x:f>IF(F9="CNY",'Policy &amp; Inputs'!$B$16,IF(F9="CAD",'Policy &amp; Inputs'!$B$17,1))</x:f>
        <x:v>7.1875</x:v>
      </x:c>
      <x:c r="L9" s="87" t="n">
        <x:f>J9/K9</x:f>
        <x:v>0.0882966779167494</x:v>
      </x:c>
      <x:c r="M9" s="67" t="n">
        <x:v>45777</x:v>
      </x:c>
      <x:c r="N9" s="26" t="str">
        <x:v>included</x:v>
      </x:c>
      <x:c r="O9" s="26" t="str">
        <x:v>jibei_tariff_2025_04</x:v>
      </x:c>
      <x:c r="P9" s="80" t="str">
        <x:v>Jibei is used as the transparent provincial proxy; it is not a province-wide contract price.</x:v>
      </x:c>
    </x:row>
    <x:row r="10">
      <x:c r="A10" s="26" t="str">
        <x:v>jiangsu_tariff_2025_06</x:v>
      </x:c>
      <x:c r="B10" s="26" t="str">
        <x:v>Jiangsu</x:v>
      </x:c>
      <x:c r="C10" s="26" t="str">
        <x:v>China</x:v>
      </x:c>
      <x:c r="D10" s="26" t="str">
        <x:v>constructed_public_tariff_proxy</x:v>
      </x:c>
      <x:c r="E10" s="26" t="str">
        <x:v>energy_plus_demand</x:v>
      </x:c>
      <x:c r="F10" s="26" t="str">
        <x:v>CNY</x:v>
      </x:c>
      <x:c r="G10" s="87" t="n">
        <x:v>0.5999</x:v>
      </x:c>
      <x:c r="H10" s="87" t="n">
        <x:v>44.8</x:v>
      </x:c>
      <x:c r="I10" s="87" t="n">
        <x:v>0</x:v>
      </x:c>
      <x:c r="J10" s="87" t="n">
        <x:f>IF(E10="direct",G10,G10+(H10-I10)/('Policy &amp; Inputs'!$B$10*'Policy &amp; Inputs'!$B$11))</x:f>
        <x:v>0.6680887366818874</x:v>
      </x:c>
      <x:c r="K10" s="87" t="n">
        <x:f>IF(F10="CNY",'Policy &amp; Inputs'!$B$16,IF(F10="CAD",'Policy &amp; Inputs'!$B$17,1))</x:f>
        <x:v>7.1875</x:v>
      </x:c>
      <x:c r="L10" s="87" t="n">
        <x:f>J10/K10</x:f>
        <x:v>0.09295147640791476</x:v>
      </x:c>
      <x:c r="M10" s="67" t="n">
        <x:v>45838</x:v>
      </x:c>
      <x:c r="N10" s="26" t="str">
        <x:v>included</x:v>
      </x:c>
      <x:c r="O10" s="26" t="str">
        <x:v>jiangsu_tariff_2025_06</x:v>
      </x:c>
      <x:c r="P10" s="80" t="str"/>
    </x:row>
    <x:row r="11">
      <x:c r="A11" s="26" t="str">
        <x:v>beijing_tariff_2025_04</x:v>
      </x:c>
      <x:c r="B11" s="26" t="str">
        <x:v>Beijing</x:v>
      </x:c>
      <x:c r="C11" s="26" t="str">
        <x:v>China</x:v>
      </x:c>
      <x:c r="D11" s="26" t="str">
        <x:v>constructed_public_tariff_proxy</x:v>
      </x:c>
      <x:c r="E11" s="26" t="str">
        <x:v>energy_plus_demand</x:v>
      </x:c>
      <x:c r="F11" s="26" t="str">
        <x:v>CNY</x:v>
      </x:c>
      <x:c r="G11" s="87" t="n">
        <x:v>0.61971175</x:v>
      </x:c>
      <x:c r="H11" s="87" t="n">
        <x:v>48</x:v>
      </x:c>
      <x:c r="I11" s="87" t="n">
        <x:v>0</x:v>
      </x:c>
      <x:c r="J11" s="87" t="n">
        <x:f>IF(E11="direct",G11,G11+(H11-I11)/('Policy &amp; Inputs'!$B$10*'Policy &amp; Inputs'!$B$11))</x:f>
        <x:v>0.6927711107305936</x:v>
      </x:c>
      <x:c r="K11" s="87" t="n">
        <x:f>IF(F11="CNY",'Policy &amp; Inputs'!$B$16,IF(F11="CAD",'Policy &amp; Inputs'!$B$17,1))</x:f>
        <x:v>7.1875</x:v>
      </x:c>
      <x:c r="L11" s="87" t="n">
        <x:f>J11/K11</x:f>
        <x:v>0.09638554584077824</x:v>
      </x:c>
      <x:c r="M11" s="67" t="n">
        <x:v>45777</x:v>
      </x:c>
      <x:c r="N11" s="26" t="str">
        <x:v>included</x:v>
      </x:c>
      <x:c r="O11" s="26" t="str">
        <x:v>beijing_tariff_2025_04</x:v>
      </x:c>
      <x:c r="P11" s="80" t="str"/>
    </x:row>
    <x:row r="12">
      <x:c r="A12" s="26" t="str">
        <x:v>guangdong_tariff_2025_04</x:v>
      </x:c>
      <x:c r="B12" s="26" t="str">
        <x:v>Guangdong</x:v>
      </x:c>
      <x:c r="C12" s="26" t="str">
        <x:v>China</x:v>
      </x:c>
      <x:c r="D12" s="26" t="str">
        <x:v>constructed_public_tariff_proxy</x:v>
      </x:c>
      <x:c r="E12" s="26" t="str">
        <x:v>energy_plus_demand</x:v>
      </x:c>
      <x:c r="F12" s="26" t="str">
        <x:v>CNY</x:v>
      </x:c>
      <x:c r="G12" s="87" t="n">
        <x:v>0.66996875</x:v>
      </x:c>
      <x:c r="H12" s="87" t="n">
        <x:v>31</x:v>
      </x:c>
      <x:c r="I12" s="87" t="n">
        <x:v>0</x:v>
      </x:c>
      <x:c r="J12" s="87" t="n">
        <x:f>IF(E12="direct",G12,G12+(H12-I12)/('Policy &amp; Inputs'!$B$10*'Policy &amp; Inputs'!$B$11))</x:f>
        <x:v>0.7171529204718416</x:v>
      </x:c>
      <x:c r="K12" s="87" t="n">
        <x:f>IF(F12="CNY",'Policy &amp; Inputs'!$B$16,IF(F12="CAD",'Policy &amp; Inputs'!$B$17,1))</x:f>
        <x:v>7.1875</x:v>
      </x:c>
      <x:c r="L12" s="87" t="n">
        <x:f>J12/K12</x:f>
        <x:v>0.09977779763086493</x:v>
      </x:c>
      <x:c r="M12" s="67" t="n">
        <x:v>45777</x:v>
      </x:c>
      <x:c r="N12" s="26" t="str">
        <x:v>included</x:v>
      </x:c>
      <x:c r="O12" s="26" t="str">
        <x:v>guangdong_tariff_2025_04</x:v>
      </x:c>
      <x:c r="P12" s="80" t="str">
        <x:v>Pearl River Delta 35–110 kV two-part tariff applied uniformly as a conservative public proxy; the earlier unsupported 169 MW regional weighting has been removed.</x:v>
      </x:c>
    </x:row>
    <x:row r="13">
      <x:c r="A13" s="26" t="str">
        <x:v>shandong_tariff_2025_03</x:v>
      </x:c>
      <x:c r="B13" s="26" t="str">
        <x:v>Shandong</x:v>
      </x:c>
      <x:c r="C13" s="26" t="str">
        <x:v>China</x:v>
      </x:c>
      <x:c r="D13" s="26" t="str">
        <x:v>constructed_public_tariff_proxy</x:v>
      </x:c>
      <x:c r="E13" s="26" t="str">
        <x:v>energy_plus_demand</x:v>
      </x:c>
      <x:c r="F13" s="26" t="str">
        <x:v>CNY</x:v>
      </x:c>
      <x:c r="G13" s="87" t="n">
        <x:v>0.67486875</x:v>
      </x:c>
      <x:c r="H13" s="87" t="n">
        <x:v>35.2</x:v>
      </x:c>
      <x:c r="I13" s="87" t="n">
        <x:v>0</x:v>
      </x:c>
      <x:c r="J13" s="87" t="n">
        <x:f>IF(E13="direct",G13,G13+(H13-I13)/('Policy &amp; Inputs'!$B$10*'Policy &amp; Inputs'!$B$11))</x:f>
        <x:v>0.7284456145357686</x:v>
      </x:c>
      <x:c r="K13" s="87" t="n">
        <x:f>IF(F13="CNY",'Policy &amp; Inputs'!$B$16,IF(F13="CAD",'Policy &amp; Inputs'!$B$17,1))</x:f>
        <x:v>7.1875</x:v>
      </x:c>
      <x:c r="L13" s="87" t="n">
        <x:f>J13/K13</x:f>
        <x:v>0.10134895506584607</x:v>
      </x:c>
      <x:c r="M13" s="67" t="n">
        <x:v>45747</x:v>
      </x:c>
      <x:c r="N13" s="26" t="str">
        <x:v>included</x:v>
      </x:c>
      <x:c r="O13" s="26" t="str">
        <x:v>shandong_tariff_2025_03</x:v>
      </x:c>
      <x:c r="P13" s="80" t="str"/>
    </x:row>
    <x:row r="14">
      <x:c r="A14" s="26" t="str">
        <x:v>montreal_rate_lg_2025</x:v>
      </x:c>
      <x:c r="B14" s="26" t="str">
        <x:v>Montreal, Quebec</x:v>
      </x:c>
      <x:c r="C14" s="26" t="str">
        <x:v>Canada</x:v>
      </x:c>
      <x:c r="D14" s="26" t="str">
        <x:v>constructed_public_tariff_proxy</x:v>
      </x:c>
      <x:c r="E14" s="26" t="str">
        <x:v>energy_plus_net_demand</x:v>
      </x:c>
      <x:c r="F14" s="26" t="str">
        <x:v>CAD</x:v>
      </x:c>
      <x:c r="G14" s="87" t="n">
        <x:v>0.04165</x:v>
      </x:c>
      <x:c r="H14" s="87" t="n">
        <x:v>15.963</x:v>
      </x:c>
      <x:c r="I14" s="87" t="n">
        <x:v>3.0063</x:v>
      </x:c>
      <x:c r="J14" s="87" t="n">
        <x:f>IF(E14="direct",G14,G14+(H14-I14)/('Policy &amp; Inputs'!$B$10*'Policy &amp; Inputs'!$B$11))</x:f>
        <x:v>0.061371004566210044</x:v>
      </x:c>
      <x:c r="K14" s="87" t="n">
        <x:f>IF(F14="CNY",'Policy &amp; Inputs'!$B$16,IF(F14="CAD",'Policy &amp; Inputs'!$B$17,1))</x:f>
        <x:v>1.3973</x:v>
      </x:c>
      <x:c r="L14" s="87" t="n">
        <x:f>J14/K14</x:f>
        <x:v>0.043921136882709544</x:v>
      </x:c>
      <x:c r="M14" s="67" t="n">
        <x:v>45748</x:v>
      </x:c>
      <x:c r="N14" s="26" t="str">
        <x:v>included</x:v>
      </x:c>
      <x:c r="O14" s="26" t="str">
        <x:v>hydroquebec_rate_lg_2025; hydroquebec_datacenter_classes_2026</x:v>
      </x:c>
      <x:c r="P14" s="80" t="str"/>
    </x:row>
    <x:row r="15">
      <x:c r="A15" s="26" t="str">
        <x:v>texas_industrial_average_2025</x:v>
      </x:c>
      <x:c r="B15" s="26" t="str">
        <x:v>Dallas–Fort Worth</x:v>
      </x:c>
      <x:c r="C15" s="26" t="str">
        <x:v>United States</x:v>
      </x:c>
      <x:c r="D15" s="26" t="str">
        <x:v>reported_regional_average</x:v>
      </x:c>
      <x:c r="E15" s="26" t="str">
        <x:v>direct</x:v>
      </x:c>
      <x:c r="F15" s="26" t="str">
        <x:v>USD</x:v>
      </x:c>
      <x:c r="G15" s="87" t="n">
        <x:v>0.0655</x:v>
      </x:c>
      <x:c r="H15" s="87"/>
      <x:c r="I15" s="87" t="n">
        <x:v>0</x:v>
      </x:c>
      <x:c r="J15" s="87" t="n">
        <x:f>IF(E15="direct",G15,G15+(H15-I15)/('Policy &amp; Inputs'!$B$10*'Policy &amp; Inputs'!$B$11))</x:f>
        <x:v>0.0655</x:v>
      </x:c>
      <x:c r="K15" s="87" t="n">
        <x:f>IF(F15="CNY",'Policy &amp; Inputs'!$B$16,IF(F15="CAD",'Policy &amp; Inputs'!$B$17,1))</x:f>
        <x:v>1</x:v>
      </x:c>
      <x:c r="L15" s="87" t="n">
        <x:f>J15/K15</x:f>
        <x:v>0.0655</x:v>
      </x:c>
      <x:c r="M15" s="67" t="n">
        <x:v>46022</x:v>
      </x:c>
      <x:c r="N15" s="26" t="str">
        <x:v>included</x:v>
      </x:c>
      <x:c r="O15" s="26" t="str">
        <x:v>eia_industrial_prices_2025</x:v>
      </x:c>
      <x:c r="P15" s="80" t="str">
        <x:v>Texas industrial-sector average; not a disclosed data-center contract.</x:v>
      </x:c>
    </x:row>
    <x:row r="16">
      <x:c r="A16" s="26" t="str">
        <x:v>virginia_industrial_average_2025</x:v>
      </x:c>
      <x:c r="B16" s="26" t="str">
        <x:v>Northern Virginia</x:v>
      </x:c>
      <x:c r="C16" s="26" t="str">
        <x:v>United States</x:v>
      </x:c>
      <x:c r="D16" s="26" t="str">
        <x:v>reported_regional_average</x:v>
      </x:c>
      <x:c r="E16" s="26" t="str">
        <x:v>direct</x:v>
      </x:c>
      <x:c r="F16" s="26" t="str">
        <x:v>USD</x:v>
      </x:c>
      <x:c r="G16" s="87" t="n">
        <x:v>0.0945</x:v>
      </x:c>
      <x:c r="H16" s="87"/>
      <x:c r="I16" s="87" t="n">
        <x:v>0</x:v>
      </x:c>
      <x:c r="J16" s="87" t="n">
        <x:f>IF(E16="direct",G16,G16+(H16-I16)/('Policy &amp; Inputs'!$B$10*'Policy &amp; Inputs'!$B$11))</x:f>
        <x:v>0.0945</x:v>
      </x:c>
      <x:c r="K16" s="87" t="n">
        <x:f>IF(F16="CNY",'Policy &amp; Inputs'!$B$16,IF(F16="CAD",'Policy &amp; Inputs'!$B$17,1))</x:f>
        <x:v>1</x:v>
      </x:c>
      <x:c r="L16" s="87" t="n">
        <x:f>J16/K16</x:f>
        <x:v>0.0945</x:v>
      </x:c>
      <x:c r="M16" s="67" t="n">
        <x:v>46022</x:v>
      </x:c>
      <x:c r="N16" s="26" t="str">
        <x:v>included</x:v>
      </x:c>
      <x:c r="O16" s="26" t="str">
        <x:v>eia_industrial_prices_2025</x:v>
      </x:c>
      <x:c r="P16" s="80" t="str">
        <x:v>Virginia industrial-sector average; not a disclosed data-center contract.</x:v>
      </x:c>
    </x:row>
    <x:row r="17">
      <x:c r="A17" s="26" t="str">
        <x:v>guian_target_2025</x:v>
      </x:c>
      <x:c r="B17" s="26" t="str">
        <x:v>Gui'an</x:v>
      </x:c>
      <x:c r="C17" s="26" t="str">
        <x:v>China</x:v>
      </x:c>
      <x:c r="D17" s="26" t="str">
        <x:v>policy_target</x:v>
      </x:c>
      <x:c r="E17" s="26" t="str">
        <x:v>direct</x:v>
      </x:c>
      <x:c r="F17" s="26" t="str">
        <x:v>CNY</x:v>
      </x:c>
      <x:c r="G17" s="87" t="n">
        <x:v>0.35</x:v>
      </x:c>
      <x:c r="H17" s="87"/>
      <x:c r="I17" s="87" t="n">
        <x:v>0</x:v>
      </x:c>
      <x:c r="J17" s="87" t="n">
        <x:f>IF(E17="direct",G17,G17+(H17-I17)/('Policy &amp; Inputs'!$B$10*'Policy &amp; Inputs'!$B$11))</x:f>
        <x:v>0.35</x:v>
      </x:c>
      <x:c r="K17" s="87" t="n">
        <x:f>IF(F17="CNY",'Policy &amp; Inputs'!$B$16,IF(F17="CAD",'Policy &amp; Inputs'!$B$17,1))</x:f>
        <x:v>7.1875</x:v>
      </x:c>
      <x:c r="L17" s="87" t="n">
        <x:f>J17/K17</x:f>
        <x:v>0.04869565217391304</x:v>
      </x:c>
      <x:c r="M17" s="67" t="n">
        <x:v>46022</x:v>
      </x:c>
      <x:c r="N17" s="26" t="str">
        <x:v>excluded-target</x:v>
      </x:c>
      <x:c r="O17" s="26" t="str">
        <x:v>guian_price_target_2025</x:v>
      </x:c>
      <x:c r="P17" s="80" t="str"/>
    </x:row>
    <x:row r="18">
      <x:c r="A18" s="26" t="str">
        <x:v>shanxi_tariff_2026_04</x:v>
      </x:c>
      <x:c r="B18" s="26" t="str">
        <x:v>Shanxi</x:v>
      </x:c>
      <x:c r="C18" s="26" t="str">
        <x:v>China</x:v>
      </x:c>
      <x:c r="D18" s="26" t="str">
        <x:v>constructed_public_tariff_proxy</x:v>
      </x:c>
      <x:c r="E18" s="26" t="str">
        <x:v>energy_plus_demand</x:v>
      </x:c>
      <x:c r="F18" s="26" t="str">
        <x:v>CNY</x:v>
      </x:c>
      <x:c r="G18" s="87" t="n">
        <x:v>0.53251075</x:v>
      </x:c>
      <x:c r="H18" s="87" t="n">
        <x:v>33.6</x:v>
      </x:c>
      <x:c r="I18" s="87" t="n">
        <x:v>0</x:v>
      </x:c>
      <x:c r="J18" s="87" t="n">
        <x:f>IF(E18="direct",G18,G18+(H18-I18)/('Policy &amp; Inputs'!$B$10*'Policy &amp; Inputs'!$B$11))</x:f>
        <x:v>0.5836523025114155</x:v>
      </x:c>
      <x:c r="K18" s="87" t="n">
        <x:f>IF(F18="CNY",'Policy &amp; Inputs'!$B$16,IF(F18="CAD",'Policy &amp; Inputs'!$B$17,1))</x:f>
        <x:v>7.1875</x:v>
      </x:c>
      <x:c r="L18" s="87" t="n">
        <x:f>J18/K18</x:f>
        <x:v>0.0812037986102839</x:v>
      </x:c>
      <x:c r="M18" s="67" t="n">
        <x:v>46142</x:v>
      </x:c>
      <x:c r="N18" s="26" t="str">
        <x:v>excluded-post-cutoff</x:v>
      </x:c>
      <x:c r="O18" s="26" t="str">
        <x:v>shanxi_tariff_2026_04</x:v>
      </x:c>
      <x:c r="P18" s="80" t="str"/>
    </x:row>
    <x:row r="19">
      <x:c r="A19" s="26" t="str">
        <x:v>shanghai_claimed_2025</x:v>
      </x:c>
      <x:c r="B19" s="26" t="str">
        <x:v>Shanghai</x:v>
      </x:c>
      <x:c r="C19" s="26" t="str">
        <x:v>China</x:v>
      </x:c>
      <x:c r="D19" s="26" t="str">
        <x:v>unverified_proxy</x:v>
      </x:c>
      <x:c r="E19" s="26" t="str">
        <x:v>direct</x:v>
      </x:c>
      <x:c r="F19" s="26" t="str">
        <x:v>CNY</x:v>
      </x:c>
      <x:c r="G19" s="87" t="n">
        <x:v>0.7484</x:v>
      </x:c>
      <x:c r="H19" s="87"/>
      <x:c r="I19" s="87" t="n">
        <x:v>0</x:v>
      </x:c>
      <x:c r="J19" s="87" t="n">
        <x:f>IF(E19="direct",G19,G19+(H19-I19)/('Policy &amp; Inputs'!$B$10*'Policy &amp; Inputs'!$B$11))</x:f>
        <x:v>0.7484</x:v>
      </x:c>
      <x:c r="K19" s="87" t="n">
        <x:f>IF(F19="CNY",'Policy &amp; Inputs'!$B$16,IF(F19="CAD",'Policy &amp; Inputs'!$B$17,1))</x:f>
        <x:v>7.1875</x:v>
      </x:c>
      <x:c r="L19" s="87" t="n">
        <x:f>J19/K19</x:f>
        <x:v>0.10412521739130434</x:v>
      </x:c>
      <x:c r="M19" s="67" t="n">
        <x:v>45838</x:v>
      </x:c>
      <x:c r="N19" s="26" t="str">
        <x:v>excluded-unverified</x:v>
      </x:c>
      <x:c r="O19" s="26" t="str">
        <x:v>shanghai_source_mismatch</x:v>
      </x:c>
      <x:c r="P19" s="80" t="str"/>
    </x:row>
    <x:row r="20">
      <x:c r="A20" s="31" t="str">
        <x:v>saudi_cloud_tariff</x:v>
      </x:c>
      <x:c r="B20" s="31" t="str">
        <x:v>Saudi Arabia</x:v>
      </x:c>
      <x:c r="C20" s="31" t="str">
        <x:v>Saudi Arabia</x:v>
      </x:c>
      <x:c r="D20" s="31" t="str">
        <x:v>regulated_tariff_unknown_date</x:v>
      </x:c>
      <x:c r="E20" s="31" t="str">
        <x:v>direct</x:v>
      </x:c>
      <x:c r="F20" s="31" t="str">
        <x:v>USD</x:v>
      </x:c>
      <x:c r="G20" s="88" t="n">
        <x:v>0.048</x:v>
      </x:c>
      <x:c r="H20" s="88"/>
      <x:c r="I20" s="88" t="n">
        <x:v>0</x:v>
      </x:c>
      <x:c r="J20" s="88" t="n">
        <x:f>IF(E20="direct",G20,G20+(H20-I20)/('Policy &amp; Inputs'!$B$10*'Policy &amp; Inputs'!$B$11))</x:f>
        <x:v>0.048</x:v>
      </x:c>
      <x:c r="K20" s="88" t="n">
        <x:f>IF(F20="CNY",'Policy &amp; Inputs'!$B$16,IF(F20="CAD",'Policy &amp; Inputs'!$B$17,1))</x:f>
        <x:v>1</x:v>
      </x:c>
      <x:c r="L20" s="88" t="n">
        <x:f>J20/K20</x:f>
        <x:v>0.048</x:v>
      </x:c>
      <x:c r="M20" s="71"/>
      <x:c r="N20" s="31" t="str">
        <x:v>excluded-date-unknown</x:v>
      </x:c>
      <x:c r="O20" s="31" t="str">
        <x:v>saudi_tariff</x:v>
      </x:c>
      <x:c r="P20" s="81" t="str"/>
    </x:row>
  </x:sheetData>
  <x:mergeCells>
    <x:mergeCell ref="A1:P1"/>
    <x:mergeCell ref="A2:P2"/>
  </x:mergeCells>
  <x:conditionalFormatting sqref="N5:N20">
    <x:cfRule type="containsText" dxfId="2" priority="1" operator="containsText" text="included"/>
    <x:cfRule type="beginsWith" dxfId="3" priority="2" operator="beginsWith" text="excluded"/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0" hidden="0" customWidth="1"/>
    <x:col min="2" max="2" width="30" hidden="0" customWidth="1"/>
    <x:col min="3" max="3" width="30" hidden="0" customWidth="1"/>
    <x:col min="4" max="4" width="12" hidden="0" customWidth="1"/>
    <x:col min="5" max="5" width="12" hidden="0" customWidth="1"/>
    <x:col min="6" max="6" width="28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17" hidden="0" customWidth="1"/>
    <x:col min="14" max="14" width="17" hidden="0" customWidth="1"/>
    <x:col min="15" max="15" width="17" hidden="0" customWidth="1"/>
    <x:col min="16" max="16" width="17" hidden="0" customWidth="1"/>
    <x:col min="17" max="17" width="17" hidden="0" customWidth="1"/>
    <x:col min="18" max="18" width="17" hidden="0" customWidth="1"/>
    <x:col min="19" max="19" width="65" hidden="0" customWidth="1"/>
  </x:cols>
  <x:sheetData>
    <x:row r="1" ht="31" customHeight="1">
      <x:c r="A1" s="3" t="str">
        <x:v>Scenario outputs — the four displayed cost curves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</x:row>
    <x:row r="2" ht="28" customHeight="1">
      <x:c r="A2" s="7" t="str">
        <x:v>Rows are generated in ascending cost order. Capacity, price and cost cells link back to formula-driven audit sheets.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</x:row>
    <x:row r="4" ht="34" customHeight="1">
      <x:c r="A4" s="11" t="str">
        <x:v>Scenario</x:v>
      </x:c>
      <x:c r="B4" s="11" t="str">
        <x:v>Price case</x:v>
      </x:c>
      <x:c r="C4" s="11" t="str">
        <x:v>Technology case</x:v>
      </x:c>
      <x:c r="D4" s="11" t="str">
        <x:v>Cost order</x:v>
      </x:c>
      <x:c r="E4" s="11" t="str">
        <x:v>Block</x:v>
      </x:c>
      <x:c r="F4" s="11" t="str">
        <x:v>Location</x:v>
      </x:c>
      <x:c r="G4" s="11" t="str">
        <x:v>Country</x:v>
      </x:c>
      <x:c r="H4" s="11" t="str">
        <x:v>Capacity ref</x:v>
      </x:c>
      <x:c r="I4" s="11" t="str">
        <x:v>Capacity MW</x:v>
      </x:c>
      <x:c r="J4" s="11" t="str">
        <x:v>Capacity date</x:v>
      </x:c>
      <x:c r="K4" s="11" t="str">
        <x:v>Price ref</x:v>
      </x:c>
      <x:c r="L4" s="11" t="str">
        <x:v>USD / kWh</x:v>
      </x:c>
      <x:c r="M4" s="11" t="str">
        <x:v>Evidence class</x:v>
      </x:c>
      <x:c r="N4" s="11" t="str">
        <x:v>Price date</x:v>
      </x:c>
      <x:c r="O4" s="11" t="str">
        <x:v>Technology</x:v>
      </x:c>
      <x:c r="P4" s="11" t="str">
        <x:v>Multiplier</x:v>
      </x:c>
      <x:c r="Q4" s="11" t="str">
        <x:v>USD / 10¹⁹ FLOPs</x:v>
      </x:c>
      <x:c r="R4" s="11" t="str">
        <x:v>10¹⁹ FLOPs / USD</x:v>
      </x:c>
      <x:c r="S4" s="11" t="str">
        <x:v>Source IDs</x:v>
      </x:c>
    </x:row>
    <x:row r="5">
      <x:c r="A5" s="24" t="str">
        <x:v>reported_prices__same_technology</x:v>
      </x:c>
      <x:c r="B5" s="24" t="str">
        <x:v>Reported price observations</x:v>
      </x:c>
      <x:c r="C5" s="24" t="str">
        <x:v>Same technology everywhere</x:v>
      </x:c>
      <x:c r="D5" s="24" t="n">
        <x:v>1</x:v>
      </x:c>
      <x:c r="E5" s="24" t="str">
        <x:v>hohhot</x:v>
      </x:c>
      <x:c r="F5" s="24" t="str">
        <x:v>Hohhot / Helinger</x:v>
      </x:c>
      <x:c r="G5" s="24" t="str">
        <x:v>China</x:v>
      </x:c>
      <x:c r="H5" s="24" t="str">
        <x:v>hohhot_design_2023</x:v>
      </x:c>
      <x:c r="I5" s="62" t="n">
        <x:f>'Named Capacity'!J5</x:f>
        <x:v>442.5025</x:v>
      </x:c>
      <x:c r="J5" s="63" t="str">
        <x:v>2023-12-31</x:v>
      </x:c>
      <x:c r="K5" s="24" t="str">
        <x:v>hohhot_reported_2025</x:v>
      </x:c>
      <x:c r="L5" s="97" t="n">
        <x:f>'Price Evidence'!L5</x:f>
        <x:v>0.04869565217391304</x:v>
      </x:c>
      <x:c r="M5" s="24" t="str">
        <x:v>reported_delivered_price</x:v>
      </x:c>
      <x:c r="N5" s="63" t="str">
        <x:v>2025-07-18</x:v>
      </x:c>
      <x:c r="O5" s="24" t="str">
        <x:v>NVIDIA GB200 NVL72</x:v>
      </x:c>
      <x:c r="P5" s="24" t="n">
        <x:f>IF(AND(G5="China",C5="Export-control-constrained technology"),'Policy &amp; Inputs'!$B$15,1)</x:f>
        <x:v>1</x:v>
      </x:c>
      <x:c r="Q5" s="98" t="n">
        <x:f>('Policy &amp; Inputs'!$B$12*'Policy &amp; Inputs'!$B$13*L5)/('Policy &amp; Inputs'!$B$14*10^15*3600)*10^19*P5</x:f>
        <x:v>0.10821256038647344</x:v>
      </x:c>
      <x:c r="R5" s="98" t="n">
        <x:f>1/Q5</x:f>
        <x:v>9.241071428571429</x:v>
      </x:c>
      <x:c r="S5" s="24" t="str">
        <x:v>hohhot_capacity_2023; hohhot_price_2025; nvidia_gb200_spec; nvidia_gb200_power; federal_reserve_fx_2025</x:v>
      </x:c>
    </x:row>
    <x:row r="6">
      <x:c r="A6" s="26" t="str">
        <x:v>reported_prices__same_technology</x:v>
      </x:c>
      <x:c r="B6" s="26" t="str">
        <x:v>Reported price observations</x:v>
      </x:c>
      <x:c r="C6" s="26" t="str">
        <x:v>Same technology everywhere</x:v>
      </x:c>
      <x:c r="D6" s="26" t="n">
        <x:v>2</x:v>
      </x:c>
      <x:c r="E6" s="26" t="str">
        <x:v>dallas</x:v>
      </x:c>
      <x:c r="F6" s="26" t="str">
        <x:v>Dallas–Fort Worth</x:v>
      </x:c>
      <x:c r="G6" s="26" t="str">
        <x:v>United States</x:v>
      </x:c>
      <x:c r="H6" s="26" t="str">
        <x:v>dallas_cbre_2025</x:v>
      </x:c>
      <x:c r="I6" s="66" t="n">
        <x:f>'Named Capacity'!J7</x:f>
        <x:v>1067.3</x:v>
      </x:c>
      <x:c r="J6" s="67" t="str">
        <x:v>2025-12-31</x:v>
      </x:c>
      <x:c r="K6" s="26" t="str">
        <x:v>texas_industrial_average_2025</x:v>
      </x:c>
      <x:c r="L6" s="99" t="n">
        <x:f>'Price Evidence'!L15</x:f>
        <x:v>0.0655</x:v>
      </x:c>
      <x:c r="M6" s="26" t="str">
        <x:v>reported_regional_average</x:v>
      </x:c>
      <x:c r="N6" s="67" t="str">
        <x:v>2025-12-31</x:v>
      </x:c>
      <x:c r="O6" s="26" t="str">
        <x:v>NVIDIA GB200 NVL72</x:v>
      </x:c>
      <x:c r="P6" s="26" t="n">
        <x:f>IF(AND(G6="China",C6="Export-control-constrained technology"),'Policy &amp; Inputs'!$B$15,1)</x:f>
        <x:v>1</x:v>
      </x:c>
      <x:c r="Q6" s="100" t="n">
        <x:f>('Policy &amp; Inputs'!$B$12*'Policy &amp; Inputs'!$B$13*L6)/('Policy &amp; Inputs'!$B$14*10^15*3600)*10^19*P6</x:f>
        <x:v>0.14555555555555555</x:v>
      </x:c>
      <x:c r="R6" s="100" t="n">
        <x:f>1/Q6</x:f>
        <x:v>6.870229007633588</x:v>
      </x:c>
      <x:c r="S6" s="26" t="str">
        <x:v>cbre_inventory_h2_2025; cbre_capacity_glossary; eia_industrial_prices_2025; nvidia_gb200_spec; nvidia_gb200_power; federal_reserve_fx_2025</x:v>
      </x:c>
    </x:row>
    <x:row r="7">
      <x:c r="A7" s="26" t="str">
        <x:v>reported_prices__same_technology</x:v>
      </x:c>
      <x:c r="B7" s="26" t="str">
        <x:v>Reported price observations</x:v>
      </x:c>
      <x:c r="C7" s="26" t="str">
        <x:v>Same technology everywhere</x:v>
      </x:c>
      <x:c r="D7" s="26" t="n">
        <x:v>3</x:v>
      </x:c>
      <x:c r="E7" s="26" t="str">
        <x:v>virginia</x:v>
      </x:c>
      <x:c r="F7" s="26" t="str">
        <x:v>Northern Virginia</x:v>
      </x:c>
      <x:c r="G7" s="26" t="str">
        <x:v>United States</x:v>
      </x:c>
      <x:c r="H7" s="26" t="str">
        <x:v>virginia_cbre_2025</x:v>
      </x:c>
      <x:c r="I7" s="66" t="n">
        <x:f>'Named Capacity'!J8</x:f>
        <x:v>4039.6</x:v>
      </x:c>
      <x:c r="J7" s="67" t="str">
        <x:v>2025-12-31</x:v>
      </x:c>
      <x:c r="K7" s="26" t="str">
        <x:v>virginia_industrial_average_2025</x:v>
      </x:c>
      <x:c r="L7" s="99" t="n">
        <x:f>'Price Evidence'!L16</x:f>
        <x:v>0.0945</x:v>
      </x:c>
      <x:c r="M7" s="26" t="str">
        <x:v>reported_regional_average</x:v>
      </x:c>
      <x:c r="N7" s="67" t="str">
        <x:v>2025-12-31</x:v>
      </x:c>
      <x:c r="O7" s="26" t="str">
        <x:v>NVIDIA GB200 NVL72</x:v>
      </x:c>
      <x:c r="P7" s="26" t="n">
        <x:f>IF(AND(G7="China",C7="Export-control-constrained technology"),'Policy &amp; Inputs'!$B$15,1)</x:f>
        <x:v>1</x:v>
      </x:c>
      <x:c r="Q7" s="100" t="n">
        <x:f>('Policy &amp; Inputs'!$B$12*'Policy &amp; Inputs'!$B$13*L7)/('Policy &amp; Inputs'!$B$14*10^15*3600)*10^19*P7</x:f>
        <x:v>0.21000000000000002</x:v>
      </x:c>
      <x:c r="R7" s="100" t="n">
        <x:f>1/Q7</x:f>
        <x:v>4.761904761904762</x:v>
      </x:c>
      <x:c r="S7" s="26" t="str">
        <x:v>cbre_inventory_h2_2025; cbre_capacity_glossary; eia_industrial_prices_2025; nvidia_gb200_spec; nvidia_gb200_power; federal_reserve_fx_2025</x:v>
      </x:c>
    </x:row>
    <x:row r="8">
      <x:c r="A8" s="26" t="str">
        <x:v>reported_prices__export_constrained</x:v>
      </x:c>
      <x:c r="B8" s="26" t="str">
        <x:v>Reported price observations</x:v>
      </x:c>
      <x:c r="C8" s="26" t="str">
        <x:v>Export-control-constrained technology</x:v>
      </x:c>
      <x:c r="D8" s="26" t="n">
        <x:v>1</x:v>
      </x:c>
      <x:c r="E8" s="26" t="str">
        <x:v>dallas</x:v>
      </x:c>
      <x:c r="F8" s="26" t="str">
        <x:v>Dallas–Fort Worth</x:v>
      </x:c>
      <x:c r="G8" s="26" t="str">
        <x:v>United States</x:v>
      </x:c>
      <x:c r="H8" s="26" t="str">
        <x:v>dallas_cbre_2025</x:v>
      </x:c>
      <x:c r="I8" s="66" t="n">
        <x:f>'Named Capacity'!J7</x:f>
        <x:v>1067.3</x:v>
      </x:c>
      <x:c r="J8" s="67" t="str">
        <x:v>2025-12-31</x:v>
      </x:c>
      <x:c r="K8" s="26" t="str">
        <x:v>texas_industrial_average_2025</x:v>
      </x:c>
      <x:c r="L8" s="99" t="n">
        <x:f>'Price Evidence'!L15</x:f>
        <x:v>0.0655</x:v>
      </x:c>
      <x:c r="M8" s="26" t="str">
        <x:v>reported_regional_average</x:v>
      </x:c>
      <x:c r="N8" s="67" t="str">
        <x:v>2025-12-31</x:v>
      </x:c>
      <x:c r="O8" s="26" t="str">
        <x:v>NVIDIA GB200 NVL72</x:v>
      </x:c>
      <x:c r="P8" s="26" t="n">
        <x:f>IF(AND(G8="China",C8="Export-control-constrained technology"),'Policy &amp; Inputs'!$B$15,1)</x:f>
        <x:v>1</x:v>
      </x:c>
      <x:c r="Q8" s="100" t="n">
        <x:f>('Policy &amp; Inputs'!$B$12*'Policy &amp; Inputs'!$B$13*L8)/('Policy &amp; Inputs'!$B$14*10^15*3600)*10^19*P8</x:f>
        <x:v>0.14555555555555555</x:v>
      </x:c>
      <x:c r="R8" s="100" t="n">
        <x:f>1/Q8</x:f>
        <x:v>6.870229007633588</x:v>
      </x:c>
      <x:c r="S8" s="26" t="str">
        <x:v>cbre_inventory_h2_2025; cbre_capacity_glossary; eia_industrial_prices_2025; nvidia_gb200_spec; nvidia_gb200_power; huawei_cloudmatrix_performance; semianalysis_cloudmatrix_power; bis_china_policy_2026; federal_reserve_fx_2025</x:v>
      </x:c>
    </x:row>
    <x:row r="9">
      <x:c r="A9" s="26" t="str">
        <x:v>reported_prices__export_constrained</x:v>
      </x:c>
      <x:c r="B9" s="26" t="str">
        <x:v>Reported price observations</x:v>
      </x:c>
      <x:c r="C9" s="26" t="str">
        <x:v>Export-control-constrained technology</x:v>
      </x:c>
      <x:c r="D9" s="26" t="n">
        <x:v>2</x:v>
      </x:c>
      <x:c r="E9" s="26" t="str">
        <x:v>virginia</x:v>
      </x:c>
      <x:c r="F9" s="26" t="str">
        <x:v>Northern Virginia</x:v>
      </x:c>
      <x:c r="G9" s="26" t="str">
        <x:v>United States</x:v>
      </x:c>
      <x:c r="H9" s="26" t="str">
        <x:v>virginia_cbre_2025</x:v>
      </x:c>
      <x:c r="I9" s="66" t="n">
        <x:f>'Named Capacity'!J8</x:f>
        <x:v>4039.6</x:v>
      </x:c>
      <x:c r="J9" s="67" t="str">
        <x:v>2025-12-31</x:v>
      </x:c>
      <x:c r="K9" s="26" t="str">
        <x:v>virginia_industrial_average_2025</x:v>
      </x:c>
      <x:c r="L9" s="99" t="n">
        <x:f>'Price Evidence'!L16</x:f>
        <x:v>0.0945</x:v>
      </x:c>
      <x:c r="M9" s="26" t="str">
        <x:v>reported_regional_average</x:v>
      </x:c>
      <x:c r="N9" s="67" t="str">
        <x:v>2025-12-31</x:v>
      </x:c>
      <x:c r="O9" s="26" t="str">
        <x:v>NVIDIA GB200 NVL72</x:v>
      </x:c>
      <x:c r="P9" s="26" t="n">
        <x:f>IF(AND(G9="China",C9="Export-control-constrained technology"),'Policy &amp; Inputs'!$B$15,1)</x:f>
        <x:v>1</x:v>
      </x:c>
      <x:c r="Q9" s="100" t="n">
        <x:f>('Policy &amp; Inputs'!$B$12*'Policy &amp; Inputs'!$B$13*L9)/('Policy &amp; Inputs'!$B$14*10^15*3600)*10^19*P9</x:f>
        <x:v>0.21000000000000002</x:v>
      </x:c>
      <x:c r="R9" s="100" t="n">
        <x:f>1/Q9</x:f>
        <x:v>4.761904761904762</x:v>
      </x:c>
      <x:c r="S9" s="26" t="str">
        <x:v>cbre_inventory_h2_2025; cbre_capacity_glossary; eia_industrial_prices_2025; nvidia_gb200_spec; nvidia_gb200_power; huawei_cloudmatrix_performance; semianalysis_cloudmatrix_power; bis_china_policy_2026; federal_reserve_fx_2025</x:v>
      </x:c>
    </x:row>
    <x:row r="10">
      <x:c r="A10" s="26" t="str">
        <x:v>reported_prices__export_constrained</x:v>
      </x:c>
      <x:c r="B10" s="26" t="str">
        <x:v>Reported price observations</x:v>
      </x:c>
      <x:c r="C10" s="26" t="str">
        <x:v>Export-control-constrained technology</x:v>
      </x:c>
      <x:c r="D10" s="26" t="n">
        <x:v>3</x:v>
      </x:c>
      <x:c r="E10" s="26" t="str">
        <x:v>hohhot</x:v>
      </x:c>
      <x:c r="F10" s="26" t="str">
        <x:v>Hohhot / Helinger</x:v>
      </x:c>
      <x:c r="G10" s="26" t="str">
        <x:v>China</x:v>
      </x:c>
      <x:c r="H10" s="26" t="str">
        <x:v>hohhot_design_2023</x:v>
      </x:c>
      <x:c r="I10" s="66" t="n">
        <x:f>'Named Capacity'!J5</x:f>
        <x:v>442.5025</x:v>
      </x:c>
      <x:c r="J10" s="67" t="str">
        <x:v>2023-12-31</x:v>
      </x:c>
      <x:c r="K10" s="26" t="str">
        <x:v>hohhot_reported_2025</x:v>
      </x:c>
      <x:c r="L10" s="99" t="n">
        <x:f>'Price Evidence'!L5</x:f>
        <x:v>0.04869565217391304</x:v>
      </x:c>
      <x:c r="M10" s="26" t="str">
        <x:v>reported_delivered_price</x:v>
      </x:c>
      <x:c r="N10" s="67" t="str">
        <x:v>2025-07-18</x:v>
      </x:c>
      <x:c r="O10" s="26" t="str">
        <x:v>Huawei CloudMatrix384</x:v>
      </x:c>
      <x:c r="P10" s="26" t="n">
        <x:f>IF(AND(G10="China",C10="Export-control-constrained technology"),'Policy &amp; Inputs'!$B$15,1)</x:f>
        <x:v>2.5</x:v>
      </x:c>
      <x:c r="Q10" s="100" t="n">
        <x:f>('Policy &amp; Inputs'!$B$12*'Policy &amp; Inputs'!$B$13*L10)/('Policy &amp; Inputs'!$B$14*10^15*3600)*10^19*P10</x:f>
        <x:v>0.2705314009661836</x:v>
      </x:c>
      <x:c r="R10" s="100" t="n">
        <x:f>1/Q10</x:f>
        <x:v>3.6964285714285707</x:v>
      </x:c>
      <x:c r="S10" s="26" t="str">
        <x:v>hohhot_capacity_2023; hohhot_price_2025; nvidia_gb200_spec; nvidia_gb200_power; huawei_cloudmatrix_performance; semianalysis_cloudmatrix_power; bis_china_policy_2026; federal_reserve_fx_2025</x:v>
      </x:c>
    </x:row>
    <x:row r="11">
      <x:c r="A11" s="26" t="str">
        <x:v>public_price_proxies__same_technology</x:v>
      </x:c>
      <x:c r="B11" s="26" t="str">
        <x:v>Public-grid-price proxies</x:v>
      </x:c>
      <x:c r="C11" s="26" t="str">
        <x:v>Same technology everywhere</x:v>
      </x:c>
      <x:c r="D11" s="26" t="n">
        <x:v>1</x:v>
      </x:c>
      <x:c r="E11" s="26" t="str">
        <x:v>montreal</x:v>
      </x:c>
      <x:c r="F11" s="26" t="str">
        <x:v>Montreal, Quebec</x:v>
      </x:c>
      <x:c r="G11" s="26" t="str">
        <x:v>Canada</x:v>
      </x:c>
      <x:c r="H11" s="26" t="str">
        <x:v>montreal_cbre_2025</x:v>
      </x:c>
      <x:c r="I11" s="66" t="n">
        <x:f>'Named Capacity'!J6</x:f>
        <x:v>229.5</x:v>
      </x:c>
      <x:c r="J11" s="67" t="str">
        <x:v>2025-12-31</x:v>
      </x:c>
      <x:c r="K11" s="26" t="str">
        <x:v>montreal_rate_lg_2025</x:v>
      </x:c>
      <x:c r="L11" s="99" t="n">
        <x:f>'Price Evidence'!L14</x:f>
        <x:v>0.043921136882709544</x:v>
      </x:c>
      <x:c r="M11" s="26" t="str">
        <x:v>constructed_public_tariff_proxy</x:v>
      </x:c>
      <x:c r="N11" s="67" t="str">
        <x:v>2025-04-01</x:v>
      </x:c>
      <x:c r="O11" s="26" t="str">
        <x:v>NVIDIA GB200 NVL72</x:v>
      </x:c>
      <x:c r="P11" s="26" t="n">
        <x:f>IF(AND(G11="China",C11="Export-control-constrained technology"),'Policy &amp; Inputs'!$B$15,1)</x:f>
        <x:v>1</x:v>
      </x:c>
      <x:c r="Q11" s="100" t="n">
        <x:f>('Policy &amp; Inputs'!$B$12*'Policy &amp; Inputs'!$B$13*L11)/('Policy &amp; Inputs'!$B$14*10^15*3600)*10^19*P11</x:f>
        <x:v>0.09760252640602121</x:v>
      </x:c>
      <x:c r="R11" s="100" t="n">
        <x:f>1/Q11</x:f>
        <x:v>10.245636427893826</x:v>
      </x:c>
      <x:c r="S11" s="26" t="str">
        <x:v>cbre_inventory_h2_2025; cbre_capacity_glossary; hydroquebec_rate_lg_2025; hydroquebec_datacenter_classes_2026; nvidia_gb200_spec; nvidia_gb200_power; federal_reserve_fx_2025</x:v>
      </x:c>
    </x:row>
    <x:row r="12">
      <x:c r="A12" s="26" t="str">
        <x:v>public_price_proxies__same_technology</x:v>
      </x:c>
      <x:c r="B12" s="26" t="str">
        <x:v>Public-grid-price proxies</x:v>
      </x:c>
      <x:c r="C12" s="26" t="str">
        <x:v>Same technology everywhere</x:v>
      </x:c>
      <x:c r="D12" s="26" t="n">
        <x:v>2</x:v>
      </x:c>
      <x:c r="E12" s="26" t="str">
        <x:v>dallas</x:v>
      </x:c>
      <x:c r="F12" s="26" t="str">
        <x:v>Dallas–Fort Worth</x:v>
      </x:c>
      <x:c r="G12" s="26" t="str">
        <x:v>United States</x:v>
      </x:c>
      <x:c r="H12" s="26" t="str">
        <x:v>dallas_cbre_2025</x:v>
      </x:c>
      <x:c r="I12" s="66" t="n">
        <x:f>'Named Capacity'!J7</x:f>
        <x:v>1067.3</x:v>
      </x:c>
      <x:c r="J12" s="67" t="str">
        <x:v>2025-12-31</x:v>
      </x:c>
      <x:c r="K12" s="26" t="str">
        <x:v>texas_industrial_average_2025</x:v>
      </x:c>
      <x:c r="L12" s="99" t="n">
        <x:f>'Price Evidence'!L15</x:f>
        <x:v>0.0655</x:v>
      </x:c>
      <x:c r="M12" s="26" t="str">
        <x:v>reported_regional_average</x:v>
      </x:c>
      <x:c r="N12" s="67" t="str">
        <x:v>2025-12-31</x:v>
      </x:c>
      <x:c r="O12" s="26" t="str">
        <x:v>NVIDIA GB200 NVL72</x:v>
      </x:c>
      <x:c r="P12" s="26" t="n">
        <x:f>IF(AND(G12="China",C12="Export-control-constrained technology"),'Policy &amp; Inputs'!$B$15,1)</x:f>
        <x:v>1</x:v>
      </x:c>
      <x:c r="Q12" s="100" t="n">
        <x:f>('Policy &amp; Inputs'!$B$12*'Policy &amp; Inputs'!$B$13*L12)/('Policy &amp; Inputs'!$B$14*10^15*3600)*10^19*P12</x:f>
        <x:v>0.14555555555555555</x:v>
      </x:c>
      <x:c r="R12" s="100" t="n">
        <x:f>1/Q12</x:f>
        <x:v>6.870229007633588</x:v>
      </x:c>
      <x:c r="S12" s="26" t="str">
        <x:v>cbre_inventory_h2_2025; cbre_capacity_glossary; eia_industrial_prices_2025; nvidia_gb200_spec; nvidia_gb200_power; federal_reserve_fx_2025</x:v>
      </x:c>
    </x:row>
    <x:row r="13">
      <x:c r="A13" s="26" t="str">
        <x:v>public_price_proxies__same_technology</x:v>
      </x:c>
      <x:c r="B13" s="26" t="str">
        <x:v>Public-grid-price proxies</x:v>
      </x:c>
      <x:c r="C13" s="26" t="str">
        <x:v>Same technology everywhere</x:v>
      </x:c>
      <x:c r="D13" s="26" t="n">
        <x:v>3</x:v>
      </x:c>
      <x:c r="E13" s="26" t="str">
        <x:v>inner_mongolia</x:v>
      </x:c>
      <x:c r="F13" s="26" t="str">
        <x:v>Inner Mongolia</x:v>
      </x:c>
      <x:c r="G13" s="26" t="str">
        <x:v>China</x:v>
      </x:c>
      <x:c r="H13" s="26" t="str">
        <x:v>province:Inner Mongolia</x:v>
      </x:c>
      <x:c r="I13" s="66" t="n">
        <x:f>'Provincial Capacity'!L9</x:f>
        <x:v>1638.8532092930452</x:v>
      </x:c>
      <x:c r="J13" s="67" t="str">
        <x:v>2025-03-31</x:v>
      </x:c>
      <x:c r="K13" s="26" t="str">
        <x:v>mongxi_tariff_2025_06</x:v>
      </x:c>
      <x:c r="L13" s="99" t="n">
        <x:f>'Price Evidence'!L6</x:f>
        <x:v>0.06817580305737542</x:v>
      </x:c>
      <x:c r="M13" s="26" t="str">
        <x:v>constructed_public_tariff_proxy</x:v>
      </x:c>
      <x:c r="N13" s="67" t="str">
        <x:v>2025-06-30</x:v>
      </x:c>
      <x:c r="O13" s="26" t="str">
        <x:v>NVIDIA GB200 NVL72</x:v>
      </x:c>
      <x:c r="P13" s="26" t="n">
        <x:f>IF(AND(G13="China",C13="Export-control-constrained technology"),'Policy &amp; Inputs'!$B$15,1)</x:f>
        <x:v>1</x:v>
      </x:c>
      <x:c r="Q13" s="100" t="n">
        <x:f>('Policy &amp; Inputs'!$B$12*'Policy &amp; Inputs'!$B$13*L13)/('Policy &amp; Inputs'!$B$14*10^15*3600)*10^19*P13</x:f>
        <x:v>0.15150178457194535</x:v>
      </x:c>
      <x:c r="R13" s="100" t="n">
        <x:f>1/Q13</x:f>
        <x:v>6.60058231541899</x:v>
      </x:c>
      <x:c r="S13" s="26" t="str">
        <x:v>caict_treemap_2025; scio_racks_2025_03; nda_standard_rack; mongxi_tariff_2025_06; nvidia_gb200_spec; nvidia_gb200_power; federal_reserve_fx_2025</x:v>
      </x:c>
    </x:row>
    <x:row r="14">
      <x:c r="A14" s="26" t="str">
        <x:v>public_price_proxies__same_technology</x:v>
      </x:c>
      <x:c r="B14" s="26" t="str">
        <x:v>Public-grid-price proxies</x:v>
      </x:c>
      <x:c r="C14" s="26" t="str">
        <x:v>Same technology everywhere</x:v>
      </x:c>
      <x:c r="D14" s="26" t="n">
        <x:v>4</x:v>
      </x:c>
      <x:c r="E14" s="26" t="str">
        <x:v>zhejiang</x:v>
      </x:c>
      <x:c r="F14" s="26" t="str">
        <x:v>Zhejiang</x:v>
      </x:c>
      <x:c r="G14" s="26" t="str">
        <x:v>China</x:v>
      </x:c>
      <x:c r="H14" s="26" t="str">
        <x:v>province:Zhejiang</x:v>
      </x:c>
      <x:c r="I14" s="66" t="n">
        <x:f>'Provincial Capacity'!L11</x:f>
        <x:v>1344.3582245278863</x:v>
      </x:c>
      <x:c r="J14" s="67" t="str">
        <x:v>2025-03-31</x:v>
      </x:c>
      <x:c r="K14" s="26" t="str">
        <x:v>zhejiang_tariff_2025_06</x:v>
      </x:c>
      <x:c r="L14" s="99" t="n">
        <x:f>'Price Evidence'!L7</x:f>
        <x:v>0.08772425914896433</x:v>
      </x:c>
      <x:c r="M14" s="26" t="str">
        <x:v>constructed_public_tariff_proxy</x:v>
      </x:c>
      <x:c r="N14" s="67" t="str">
        <x:v>2025-06-30</x:v>
      </x:c>
      <x:c r="O14" s="26" t="str">
        <x:v>NVIDIA GB200 NVL72</x:v>
      </x:c>
      <x:c r="P14" s="26" t="n">
        <x:f>IF(AND(G14="China",C14="Export-control-constrained technology"),'Policy &amp; Inputs'!$B$15,1)</x:f>
        <x:v>1</x:v>
      </x:c>
      <x:c r="Q14" s="100" t="n">
        <x:f>('Policy &amp; Inputs'!$B$12*'Policy &amp; Inputs'!$B$13*L14)/('Policy &amp; Inputs'!$B$14*10^15*3600)*10^19*P14</x:f>
        <x:v>0.1949427981088096</x:v>
      </x:c>
      <x:c r="R14" s="100" t="n">
        <x:f>1/Q14</x:f>
        <x:v>5.129709892857075</x:v>
      </x:c>
      <x:c r="S14" s="26" t="str">
        <x:v>caict_treemap_2025; scio_racks_2025_03; nda_standard_rack; zhejiang_tariff_2025_06; nvidia_gb200_spec; nvidia_gb200_power; federal_reserve_fx_2025</x:v>
      </x:c>
    </x:row>
    <x:row r="15">
      <x:c r="A15" s="26" t="str">
        <x:v>public_price_proxies__same_technology</x:v>
      </x:c>
      <x:c r="B15" s="26" t="str">
        <x:v>Public-grid-price proxies</x:v>
      </x:c>
      <x:c r="C15" s="26" t="str">
        <x:v>Same technology everywhere</x:v>
      </x:c>
      <x:c r="D15" s="26" t="n">
        <x:v>5</x:v>
      </x:c>
      <x:c r="E15" s="26" t="str">
        <x:v>guizhou</x:v>
      </x:c>
      <x:c r="F15" s="26" t="str">
        <x:v>Guizhou</x:v>
      </x:c>
      <x:c r="G15" s="26" t="str">
        <x:v>China</x:v>
      </x:c>
      <x:c r="H15" s="26" t="str">
        <x:v>province:Guizhou</x:v>
      </x:c>
      <x:c r="I15" s="66" t="n">
        <x:f>'Provincial Capacity'!L8</x:f>
        <x:v>1648.6082879197895</x:v>
      </x:c>
      <x:c r="J15" s="67" t="str">
        <x:v>2025-03-31</x:v>
      </x:c>
      <x:c r="K15" s="26" t="str">
        <x:v>guizhou_tariff_2025_06</x:v>
      </x:c>
      <x:c r="L15" s="99" t="n">
        <x:f>'Price Evidence'!L8</x:f>
        <x:v>0.0877813106743432</x:v>
      </x:c>
      <x:c r="M15" s="26" t="str">
        <x:v>constructed_public_tariff_proxy</x:v>
      </x:c>
      <x:c r="N15" s="67" t="str">
        <x:v>2025-06-30</x:v>
      </x:c>
      <x:c r="O15" s="26" t="str">
        <x:v>NVIDIA GB200 NVL72</x:v>
      </x:c>
      <x:c r="P15" s="26" t="n">
        <x:f>IF(AND(G15="China",C15="Export-control-constrained technology"),'Policy &amp; Inputs'!$B$15,1)</x:f>
        <x:v>1</x:v>
      </x:c>
      <x:c r="Q15" s="100" t="n">
        <x:f>('Policy &amp; Inputs'!$B$12*'Policy &amp; Inputs'!$B$13*L15)/('Policy &amp; Inputs'!$B$14*10^15*3600)*10^19*P15</x:f>
        <x:v>0.19506957927631824</x:v>
      </x:c>
      <x:c r="R15" s="100" t="n">
        <x:f>1/Q15</x:f>
        <x:v>5.126375951134281</x:v>
      </x:c>
      <x:c r="S15" s="26" t="str">
        <x:v>caict_treemap_2025; scio_racks_2025_03; nda_standard_rack; guizhou_tariff_2025_06; nvidia_gb200_spec; nvidia_gb200_power; federal_reserve_fx_2025</x:v>
      </x:c>
    </x:row>
    <x:row r="16">
      <x:c r="A16" s="26" t="str">
        <x:v>public_price_proxies__same_technology</x:v>
      </x:c>
      <x:c r="B16" s="26" t="str">
        <x:v>Public-grid-price proxies</x:v>
      </x:c>
      <x:c r="C16" s="26" t="str">
        <x:v>Same technology everywhere</x:v>
      </x:c>
      <x:c r="D16" s="26" t="n">
        <x:v>6</x:v>
      </x:c>
      <x:c r="E16" s="26" t="str">
        <x:v>hebei</x:v>
      </x:c>
      <x:c r="F16" s="26" t="str">
        <x:v>Hebei</x:v>
      </x:c>
      <x:c r="G16" s="26" t="str">
        <x:v>China</x:v>
      </x:c>
      <x:c r="H16" s="26" t="str">
        <x:v>province:Hebei</x:v>
      </x:c>
      <x:c r="I16" s="66" t="n">
        <x:f>'Provincial Capacity'!L5</x:f>
        <x:v>3880.5702777188885</x:v>
      </x:c>
      <x:c r="J16" s="67" t="str">
        <x:v>2025-03-31</x:v>
      </x:c>
      <x:c r="K16" s="26" t="str">
        <x:v>hebei_tariff_2025_04</x:v>
      </x:c>
      <x:c r="L16" s="99" t="n">
        <x:f>'Price Evidence'!L9</x:f>
        <x:v>0.0882966779167494</x:v>
      </x:c>
      <x:c r="M16" s="26" t="str">
        <x:v>constructed_public_tariff_proxy</x:v>
      </x:c>
      <x:c r="N16" s="67" t="str">
        <x:v>2025-04-30</x:v>
      </x:c>
      <x:c r="O16" s="26" t="str">
        <x:v>NVIDIA GB200 NVL72</x:v>
      </x:c>
      <x:c r="P16" s="26" t="n">
        <x:f>IF(AND(G16="China",C16="Export-control-constrained technology"),'Policy &amp; Inputs'!$B$15,1)</x:f>
        <x:v>1</x:v>
      </x:c>
      <x:c r="Q16" s="100" t="n">
        <x:f>('Policy &amp; Inputs'!$B$12*'Policy &amp; Inputs'!$B$13*L16)/('Policy &amp; Inputs'!$B$14*10^15*3600)*10^19*P16</x:f>
        <x:v>0.19621483981499868</x:v>
      </x:c>
      <x:c r="R16" s="100" t="n">
        <x:f>1/Q16</x:f>
        <x:v>5.09645448296801</x:v>
      </x:c>
      <x:c r="S16" s="26" t="str">
        <x:v>caict_treemap_2025; scio_racks_2025_03; nda_standard_rack; jibei_tariff_2025_04; nvidia_gb200_spec; nvidia_gb200_power; federal_reserve_fx_2025</x:v>
      </x:c>
    </x:row>
    <x:row r="17">
      <x:c r="A17" s="26" t="str">
        <x:v>public_price_proxies__same_technology</x:v>
      </x:c>
      <x:c r="B17" s="26" t="str">
        <x:v>Public-grid-price proxies</x:v>
      </x:c>
      <x:c r="C17" s="26" t="str">
        <x:v>Same technology everywhere</x:v>
      </x:c>
      <x:c r="D17" s="26" t="n">
        <x:v>7</x:v>
      </x:c>
      <x:c r="E17" s="26" t="str">
        <x:v>jiangsu</x:v>
      </x:c>
      <x:c r="F17" s="26" t="str">
        <x:v>Jiangsu</x:v>
      </x:c>
      <x:c r="G17" s="26" t="str">
        <x:v>China</x:v>
      </x:c>
      <x:c r="H17" s="26" t="str">
        <x:v>province:Jiangsu</x:v>
      </x:c>
      <x:c r="I17" s="66" t="n">
        <x:f>'Provincial Capacity'!L7</x:f>
        <x:v>1921.7504894686303</x:v>
      </x:c>
      <x:c r="J17" s="67" t="str">
        <x:v>2025-03-31</x:v>
      </x:c>
      <x:c r="K17" s="26" t="str">
        <x:v>jiangsu_tariff_2025_06</x:v>
      </x:c>
      <x:c r="L17" s="99" t="n">
        <x:f>'Price Evidence'!L10</x:f>
        <x:v>0.09295147640791476</x:v>
      </x:c>
      <x:c r="M17" s="26" t="str">
        <x:v>constructed_public_tariff_proxy</x:v>
      </x:c>
      <x:c r="N17" s="67" t="str">
        <x:v>2025-06-30</x:v>
      </x:c>
      <x:c r="O17" s="26" t="str">
        <x:v>NVIDIA GB200 NVL72</x:v>
      </x:c>
      <x:c r="P17" s="26" t="n">
        <x:f>IF(AND(G17="China",C17="Export-control-constrained technology"),'Policy &amp; Inputs'!$B$15,1)</x:f>
        <x:v>1</x:v>
      </x:c>
      <x:c r="Q17" s="100" t="n">
        <x:f>('Policy &amp; Inputs'!$B$12*'Policy &amp; Inputs'!$B$13*L17)/('Policy &amp; Inputs'!$B$14*10^15*3600)*10^19*P17</x:f>
        <x:v>0.20655883646203282</x:v>
      </x:c>
      <x:c r="R17" s="100" t="n">
        <x:f>1/Q17</x:f>
        <x:v>4.84123563594825</x:v>
      </x:c>
      <x:c r="S17" s="26" t="str">
        <x:v>caict_treemap_2025; scio_racks_2025_03; nda_standard_rack; jiangsu_tariff_2025_06; nvidia_gb200_spec; nvidia_gb200_power; federal_reserve_fx_2025</x:v>
      </x:c>
    </x:row>
    <x:row r="18">
      <x:c r="A18" s="26" t="str">
        <x:v>public_price_proxies__same_technology</x:v>
      </x:c>
      <x:c r="B18" s="26" t="str">
        <x:v>Public-grid-price proxies</x:v>
      </x:c>
      <x:c r="C18" s="26" t="str">
        <x:v>Same technology everywhere</x:v>
      </x:c>
      <x:c r="D18" s="26" t="n">
        <x:v>8</x:v>
      </x:c>
      <x:c r="E18" s="26" t="str">
        <x:v>virginia</x:v>
      </x:c>
      <x:c r="F18" s="26" t="str">
        <x:v>Northern Virginia</x:v>
      </x:c>
      <x:c r="G18" s="26" t="str">
        <x:v>United States</x:v>
      </x:c>
      <x:c r="H18" s="26" t="str">
        <x:v>virginia_cbre_2025</x:v>
      </x:c>
      <x:c r="I18" s="66" t="n">
        <x:f>'Named Capacity'!J8</x:f>
        <x:v>4039.6</x:v>
      </x:c>
      <x:c r="J18" s="67" t="str">
        <x:v>2025-12-31</x:v>
      </x:c>
      <x:c r="K18" s="26" t="str">
        <x:v>virginia_industrial_average_2025</x:v>
      </x:c>
      <x:c r="L18" s="99" t="n">
        <x:f>'Price Evidence'!L16</x:f>
        <x:v>0.0945</x:v>
      </x:c>
      <x:c r="M18" s="26" t="str">
        <x:v>reported_regional_average</x:v>
      </x:c>
      <x:c r="N18" s="67" t="str">
        <x:v>2025-12-31</x:v>
      </x:c>
      <x:c r="O18" s="26" t="str">
        <x:v>NVIDIA GB200 NVL72</x:v>
      </x:c>
      <x:c r="P18" s="26" t="n">
        <x:f>IF(AND(G18="China",C18="Export-control-constrained technology"),'Policy &amp; Inputs'!$B$15,1)</x:f>
        <x:v>1</x:v>
      </x:c>
      <x:c r="Q18" s="100" t="n">
        <x:f>('Policy &amp; Inputs'!$B$12*'Policy &amp; Inputs'!$B$13*L18)/('Policy &amp; Inputs'!$B$14*10^15*3600)*10^19*P18</x:f>
        <x:v>0.21000000000000002</x:v>
      </x:c>
      <x:c r="R18" s="100" t="n">
        <x:f>1/Q18</x:f>
        <x:v>4.761904761904762</x:v>
      </x:c>
      <x:c r="S18" s="26" t="str">
        <x:v>cbre_inventory_h2_2025; cbre_capacity_glossary; eia_industrial_prices_2025; nvidia_gb200_spec; nvidia_gb200_power; federal_reserve_fx_2025</x:v>
      </x:c>
    </x:row>
    <x:row r="19">
      <x:c r="A19" s="26" t="str">
        <x:v>public_price_proxies__same_technology</x:v>
      </x:c>
      <x:c r="B19" s="26" t="str">
        <x:v>Public-grid-price proxies</x:v>
      </x:c>
      <x:c r="C19" s="26" t="str">
        <x:v>Same technology everywhere</x:v>
      </x:c>
      <x:c r="D19" s="26" t="n">
        <x:v>9</x:v>
      </x:c>
      <x:c r="E19" s="26" t="str">
        <x:v>beijing</x:v>
      </x:c>
      <x:c r="F19" s="26" t="str">
        <x:v>Beijing</x:v>
      </x:c>
      <x:c r="G19" s="26" t="str">
        <x:v>China</x:v>
      </x:c>
      <x:c r="H19" s="26" t="str">
        <x:v>province:Beijing</x:v>
      </x:c>
      <x:c r="I19" s="66" t="n">
        <x:f>'Provincial Capacity'!L12</x:f>
        <x:v>1310.3238390968004</x:v>
      </x:c>
      <x:c r="J19" s="67" t="str">
        <x:v>2025-03-31</x:v>
      </x:c>
      <x:c r="K19" s="26" t="str">
        <x:v>beijing_tariff_2025_04</x:v>
      </x:c>
      <x:c r="L19" s="99" t="n">
        <x:f>'Price Evidence'!L11</x:f>
        <x:v>0.09638554584077824</x:v>
      </x:c>
      <x:c r="M19" s="26" t="str">
        <x:v>constructed_public_tariff_proxy</x:v>
      </x:c>
      <x:c r="N19" s="67" t="str">
        <x:v>2025-04-30</x:v>
      </x:c>
      <x:c r="O19" s="26" t="str">
        <x:v>NVIDIA GB200 NVL72</x:v>
      </x:c>
      <x:c r="P19" s="26" t="n">
        <x:f>IF(AND(G19="China",C19="Export-control-constrained technology"),'Policy &amp; Inputs'!$B$15,1)</x:f>
        <x:v>1</x:v>
      </x:c>
      <x:c r="Q19" s="100" t="n">
        <x:f>('Policy &amp; Inputs'!$B$12*'Policy &amp; Inputs'!$B$13*L19)/('Policy &amp; Inputs'!$B$14*10^15*3600)*10^19*P19</x:f>
        <x:v>0.2141901018683961</x:v>
      </x:c>
      <x:c r="R19" s="100" t="n">
        <x:f>1/Q19</x:f>
        <x:v>4.668749822129622</x:v>
      </x:c>
      <x:c r="S19" s="26" t="str">
        <x:v>caict_treemap_2025; scio_racks_2025_03; nda_standard_rack; beijing_tariff_2025_04; nvidia_gb200_spec; nvidia_gb200_power; federal_reserve_fx_2025</x:v>
      </x:c>
    </x:row>
    <x:row r="20">
      <x:c r="A20" s="26" t="str">
        <x:v>public_price_proxies__same_technology</x:v>
      </x:c>
      <x:c r="B20" s="26" t="str">
        <x:v>Public-grid-price proxies</x:v>
      </x:c>
      <x:c r="C20" s="26" t="str">
        <x:v>Same technology everywhere</x:v>
      </x:c>
      <x:c r="D20" s="26" t="n">
        <x:v>10</x:v>
      </x:c>
      <x:c r="E20" s="26" t="str">
        <x:v>guangdong</x:v>
      </x:c>
      <x:c r="F20" s="26" t="str">
        <x:v>Guangdong</x:v>
      </x:c>
      <x:c r="G20" s="26" t="str">
        <x:v>China</x:v>
      </x:c>
      <x:c r="H20" s="26" t="str">
        <x:v>province:Guangdong</x:v>
      </x:c>
      <x:c r="I20" s="66" t="n">
        <x:f>'Provincial Capacity'!L6</x:f>
        <x:v>2515.184439262243</x:v>
      </x:c>
      <x:c r="J20" s="67" t="str">
        <x:v>2025-03-31</x:v>
      </x:c>
      <x:c r="K20" s="26" t="str">
        <x:v>guangdong_tariff_2025_04</x:v>
      </x:c>
      <x:c r="L20" s="99" t="n">
        <x:f>'Price Evidence'!L12</x:f>
        <x:v>0.09977779763086493</x:v>
      </x:c>
      <x:c r="M20" s="26" t="str">
        <x:v>constructed_public_tariff_proxy</x:v>
      </x:c>
      <x:c r="N20" s="67" t="str">
        <x:v>2025-04-30</x:v>
      </x:c>
      <x:c r="O20" s="26" t="str">
        <x:v>NVIDIA GB200 NVL72</x:v>
      </x:c>
      <x:c r="P20" s="26" t="n">
        <x:f>IF(AND(G20="China",C20="Export-control-constrained technology"),'Policy &amp; Inputs'!$B$15,1)</x:f>
        <x:v>1</x:v>
      </x:c>
      <x:c r="Q20" s="100" t="n">
        <x:f>('Policy &amp; Inputs'!$B$12*'Policy &amp; Inputs'!$B$13*L20)/('Policy &amp; Inputs'!$B$14*10^15*3600)*10^19*P20</x:f>
        <x:v>0.22172843917969984</x:v>
      </x:c>
      <x:c r="R20" s="100" t="n">
        <x:f>1/Q20</x:f>
        <x:v>4.510021374342287</x:v>
      </x:c>
      <x:c r="S20" s="26" t="str">
        <x:v>caict_treemap_2025; scio_racks_2025_03; nda_standard_rack; guangdong_tariff_2025_04; nvidia_gb200_spec; nvidia_gb200_power; federal_reserve_fx_2025</x:v>
      </x:c>
    </x:row>
    <x:row r="21">
      <x:c r="A21" s="26" t="str">
        <x:v>public_price_proxies__same_technology</x:v>
      </x:c>
      <x:c r="B21" s="26" t="str">
        <x:v>Public-grid-price proxies</x:v>
      </x:c>
      <x:c r="C21" s="26" t="str">
        <x:v>Same technology everywhere</x:v>
      </x:c>
      <x:c r="D21" s="26" t="n">
        <x:v>11</x:v>
      </x:c>
      <x:c r="E21" s="26" t="str">
        <x:v>shandong</x:v>
      </x:c>
      <x:c r="F21" s="26" t="str">
        <x:v>Shandong</x:v>
      </x:c>
      <x:c r="G21" s="26" t="str">
        <x:v>China</x:v>
      </x:c>
      <x:c r="H21" s="26" t="str">
        <x:v>province:Shandong</x:v>
      </x:c>
      <x:c r="I21" s="66" t="n">
        <x:f>'Provincial Capacity'!L14</x:f>
        <x:v>1047.0451059372233</x:v>
      </x:c>
      <x:c r="J21" s="67" t="str">
        <x:v>2025-03-31</x:v>
      </x:c>
      <x:c r="K21" s="26" t="str">
        <x:v>shandong_tariff_2025_03</x:v>
      </x:c>
      <x:c r="L21" s="99" t="n">
        <x:f>'Price Evidence'!L13</x:f>
        <x:v>0.10134895506584607</x:v>
      </x:c>
      <x:c r="M21" s="26" t="str">
        <x:v>constructed_public_tariff_proxy</x:v>
      </x:c>
      <x:c r="N21" s="67" t="str">
        <x:v>2025-03-31</x:v>
      </x:c>
      <x:c r="O21" s="26" t="str">
        <x:v>NVIDIA GB200 NVL72</x:v>
      </x:c>
      <x:c r="P21" s="26" t="n">
        <x:f>IF(AND(G21="China",C21="Export-control-constrained technology"),'Policy &amp; Inputs'!$B$15,1)</x:f>
        <x:v>1</x:v>
      </x:c>
      <x:c r="Q21" s="100" t="n">
        <x:f>('Policy &amp; Inputs'!$B$12*'Policy &amp; Inputs'!$B$13*L21)/('Policy &amp; Inputs'!$B$14*10^15*3600)*10^19*P21</x:f>
        <x:v>0.2252199001463246</x:v>
      </x:c>
      <x:c r="R21" s="100" t="n">
        <x:f>1/Q21</x:f>
        <x:v>4.44010497895747</x:v>
      </x:c>
      <x:c r="S21" s="26" t="str">
        <x:v>caict_treemap_2025; scio_racks_2025_03; nda_standard_rack; shandong_tariff_2025_03; nvidia_gb200_spec; nvidia_gb200_power; federal_reserve_fx_2025</x:v>
      </x:c>
    </x:row>
    <x:row r="22">
      <x:c r="A22" s="26" t="str">
        <x:v>public_price_proxies__export_constrained</x:v>
      </x:c>
      <x:c r="B22" s="26" t="str">
        <x:v>Public-grid-price proxies</x:v>
      </x:c>
      <x:c r="C22" s="26" t="str">
        <x:v>Export-control-constrained technology</x:v>
      </x:c>
      <x:c r="D22" s="26" t="n">
        <x:v>1</x:v>
      </x:c>
      <x:c r="E22" s="26" t="str">
        <x:v>montreal</x:v>
      </x:c>
      <x:c r="F22" s="26" t="str">
        <x:v>Montreal, Quebec</x:v>
      </x:c>
      <x:c r="G22" s="26" t="str">
        <x:v>Canada</x:v>
      </x:c>
      <x:c r="H22" s="26" t="str">
        <x:v>montreal_cbre_2025</x:v>
      </x:c>
      <x:c r="I22" s="66" t="n">
        <x:f>'Named Capacity'!J6</x:f>
        <x:v>229.5</x:v>
      </x:c>
      <x:c r="J22" s="67" t="str">
        <x:v>2025-12-31</x:v>
      </x:c>
      <x:c r="K22" s="26" t="str">
        <x:v>montreal_rate_lg_2025</x:v>
      </x:c>
      <x:c r="L22" s="99" t="n">
        <x:f>'Price Evidence'!L14</x:f>
        <x:v>0.043921136882709544</x:v>
      </x:c>
      <x:c r="M22" s="26" t="str">
        <x:v>constructed_public_tariff_proxy</x:v>
      </x:c>
      <x:c r="N22" s="67" t="str">
        <x:v>2025-04-01</x:v>
      </x:c>
      <x:c r="O22" s="26" t="str">
        <x:v>NVIDIA GB200 NVL72</x:v>
      </x:c>
      <x:c r="P22" s="26" t="n">
        <x:f>IF(AND(G22="China",C22="Export-control-constrained technology"),'Policy &amp; Inputs'!$B$15,1)</x:f>
        <x:v>1</x:v>
      </x:c>
      <x:c r="Q22" s="100" t="n">
        <x:f>('Policy &amp; Inputs'!$B$12*'Policy &amp; Inputs'!$B$13*L22)/('Policy &amp; Inputs'!$B$14*10^15*3600)*10^19*P22</x:f>
        <x:v>0.09760252640602121</x:v>
      </x:c>
      <x:c r="R22" s="100" t="n">
        <x:f>1/Q22</x:f>
        <x:v>10.245636427893826</x:v>
      </x:c>
      <x:c r="S22" s="26" t="str">
        <x:v>cbre_inventory_h2_2025; cbre_capacity_glossary; hydroquebec_rate_lg_2025; hydroquebec_datacenter_classes_2026; nvidia_gb200_spec; nvidia_gb200_power; huawei_cloudmatrix_performance; semianalysis_cloudmatrix_power; bis_china_policy_2026; federal_reserve_fx_2025</x:v>
      </x:c>
    </x:row>
    <x:row r="23">
      <x:c r="A23" s="26" t="str">
        <x:v>public_price_proxies__export_constrained</x:v>
      </x:c>
      <x:c r="B23" s="26" t="str">
        <x:v>Public-grid-price proxies</x:v>
      </x:c>
      <x:c r="C23" s="26" t="str">
        <x:v>Export-control-constrained technology</x:v>
      </x:c>
      <x:c r="D23" s="26" t="n">
        <x:v>2</x:v>
      </x:c>
      <x:c r="E23" s="26" t="str">
        <x:v>dallas</x:v>
      </x:c>
      <x:c r="F23" s="26" t="str">
        <x:v>Dallas–Fort Worth</x:v>
      </x:c>
      <x:c r="G23" s="26" t="str">
        <x:v>United States</x:v>
      </x:c>
      <x:c r="H23" s="26" t="str">
        <x:v>dallas_cbre_2025</x:v>
      </x:c>
      <x:c r="I23" s="66" t="n">
        <x:f>'Named Capacity'!J7</x:f>
        <x:v>1067.3</x:v>
      </x:c>
      <x:c r="J23" s="67" t="str">
        <x:v>2025-12-31</x:v>
      </x:c>
      <x:c r="K23" s="26" t="str">
        <x:v>texas_industrial_average_2025</x:v>
      </x:c>
      <x:c r="L23" s="99" t="n">
        <x:f>'Price Evidence'!L15</x:f>
        <x:v>0.0655</x:v>
      </x:c>
      <x:c r="M23" s="26" t="str">
        <x:v>reported_regional_average</x:v>
      </x:c>
      <x:c r="N23" s="67" t="str">
        <x:v>2025-12-31</x:v>
      </x:c>
      <x:c r="O23" s="26" t="str">
        <x:v>NVIDIA GB200 NVL72</x:v>
      </x:c>
      <x:c r="P23" s="26" t="n">
        <x:f>IF(AND(G23="China",C23="Export-control-constrained technology"),'Policy &amp; Inputs'!$B$15,1)</x:f>
        <x:v>1</x:v>
      </x:c>
      <x:c r="Q23" s="100" t="n">
        <x:f>('Policy &amp; Inputs'!$B$12*'Policy &amp; Inputs'!$B$13*L23)/('Policy &amp; Inputs'!$B$14*10^15*3600)*10^19*P23</x:f>
        <x:v>0.14555555555555555</x:v>
      </x:c>
      <x:c r="R23" s="100" t="n">
        <x:f>1/Q23</x:f>
        <x:v>6.870229007633588</x:v>
      </x:c>
      <x:c r="S23" s="26" t="str">
        <x:v>cbre_inventory_h2_2025; cbre_capacity_glossary; eia_industrial_prices_2025; nvidia_gb200_spec; nvidia_gb200_power; huawei_cloudmatrix_performance; semianalysis_cloudmatrix_power; bis_china_policy_2026; federal_reserve_fx_2025</x:v>
      </x:c>
    </x:row>
    <x:row r="24">
      <x:c r="A24" s="26" t="str">
        <x:v>public_price_proxies__export_constrained</x:v>
      </x:c>
      <x:c r="B24" s="26" t="str">
        <x:v>Public-grid-price proxies</x:v>
      </x:c>
      <x:c r="C24" s="26" t="str">
        <x:v>Export-control-constrained technology</x:v>
      </x:c>
      <x:c r="D24" s="26" t="n">
        <x:v>3</x:v>
      </x:c>
      <x:c r="E24" s="26" t="str">
        <x:v>virginia</x:v>
      </x:c>
      <x:c r="F24" s="26" t="str">
        <x:v>Northern Virginia</x:v>
      </x:c>
      <x:c r="G24" s="26" t="str">
        <x:v>United States</x:v>
      </x:c>
      <x:c r="H24" s="26" t="str">
        <x:v>virginia_cbre_2025</x:v>
      </x:c>
      <x:c r="I24" s="66" t="n">
        <x:f>'Named Capacity'!J8</x:f>
        <x:v>4039.6</x:v>
      </x:c>
      <x:c r="J24" s="67" t="str">
        <x:v>2025-12-31</x:v>
      </x:c>
      <x:c r="K24" s="26" t="str">
        <x:v>virginia_industrial_average_2025</x:v>
      </x:c>
      <x:c r="L24" s="99" t="n">
        <x:f>'Price Evidence'!L16</x:f>
        <x:v>0.0945</x:v>
      </x:c>
      <x:c r="M24" s="26" t="str">
        <x:v>reported_regional_average</x:v>
      </x:c>
      <x:c r="N24" s="67" t="str">
        <x:v>2025-12-31</x:v>
      </x:c>
      <x:c r="O24" s="26" t="str">
        <x:v>NVIDIA GB200 NVL72</x:v>
      </x:c>
      <x:c r="P24" s="26" t="n">
        <x:f>IF(AND(G24="China",C24="Export-control-constrained technology"),'Policy &amp; Inputs'!$B$15,1)</x:f>
        <x:v>1</x:v>
      </x:c>
      <x:c r="Q24" s="100" t="n">
        <x:f>('Policy &amp; Inputs'!$B$12*'Policy &amp; Inputs'!$B$13*L24)/('Policy &amp; Inputs'!$B$14*10^15*3600)*10^19*P24</x:f>
        <x:v>0.21000000000000002</x:v>
      </x:c>
      <x:c r="R24" s="100" t="n">
        <x:f>1/Q24</x:f>
        <x:v>4.761904761904762</x:v>
      </x:c>
      <x:c r="S24" s="26" t="str">
        <x:v>cbre_inventory_h2_2025; cbre_capacity_glossary; eia_industrial_prices_2025; nvidia_gb200_spec; nvidia_gb200_power; huawei_cloudmatrix_performance; semianalysis_cloudmatrix_power; bis_china_policy_2026; federal_reserve_fx_2025</x:v>
      </x:c>
    </x:row>
    <x:row r="25">
      <x:c r="A25" s="26" t="str">
        <x:v>public_price_proxies__export_constrained</x:v>
      </x:c>
      <x:c r="B25" s="26" t="str">
        <x:v>Public-grid-price proxies</x:v>
      </x:c>
      <x:c r="C25" s="26" t="str">
        <x:v>Export-control-constrained technology</x:v>
      </x:c>
      <x:c r="D25" s="26" t="n">
        <x:v>4</x:v>
      </x:c>
      <x:c r="E25" s="26" t="str">
        <x:v>inner_mongolia</x:v>
      </x:c>
      <x:c r="F25" s="26" t="str">
        <x:v>Inner Mongolia</x:v>
      </x:c>
      <x:c r="G25" s="26" t="str">
        <x:v>China</x:v>
      </x:c>
      <x:c r="H25" s="26" t="str">
        <x:v>province:Inner Mongolia</x:v>
      </x:c>
      <x:c r="I25" s="66" t="n">
        <x:f>'Provincial Capacity'!L9</x:f>
        <x:v>1638.8532092930452</x:v>
      </x:c>
      <x:c r="J25" s="67" t="str">
        <x:v>2025-03-31</x:v>
      </x:c>
      <x:c r="K25" s="26" t="str">
        <x:v>mongxi_tariff_2025_06</x:v>
      </x:c>
      <x:c r="L25" s="99" t="n">
        <x:f>'Price Evidence'!L6</x:f>
        <x:v>0.06817580305737542</x:v>
      </x:c>
      <x:c r="M25" s="26" t="str">
        <x:v>constructed_public_tariff_proxy</x:v>
      </x:c>
      <x:c r="N25" s="67" t="str">
        <x:v>2025-06-30</x:v>
      </x:c>
      <x:c r="O25" s="26" t="str">
        <x:v>Huawei CloudMatrix384</x:v>
      </x:c>
      <x:c r="P25" s="26" t="n">
        <x:f>IF(AND(G25="China",C25="Export-control-constrained technology"),'Policy &amp; Inputs'!$B$15,1)</x:f>
        <x:v>2.5</x:v>
      </x:c>
      <x:c r="Q25" s="100" t="n">
        <x:f>('Policy &amp; Inputs'!$B$12*'Policy &amp; Inputs'!$B$13*L25)/('Policy &amp; Inputs'!$B$14*10^15*3600)*10^19*P25</x:f>
        <x:v>0.37875446142986335</x:v>
      </x:c>
      <x:c r="R25" s="100" t="n">
        <x:f>1/Q25</x:f>
        <x:v>2.640232926167596</x:v>
      </x:c>
      <x:c r="S25" s="26" t="str">
        <x:v>caict_treemap_2025; scio_racks_2025_03; nda_standard_rack; mongxi_tariff_2025_06; nvidia_gb200_spec; nvidia_gb200_power; huawei_cloudmatrix_performance; semianalysis_cloudmatrix_power; bis_china_policy_2026; federal_reserve_fx_2025</x:v>
      </x:c>
    </x:row>
    <x:row r="26">
      <x:c r="A26" s="26" t="str">
        <x:v>public_price_proxies__export_constrained</x:v>
      </x:c>
      <x:c r="B26" s="26" t="str">
        <x:v>Public-grid-price proxies</x:v>
      </x:c>
      <x:c r="C26" s="26" t="str">
        <x:v>Export-control-constrained technology</x:v>
      </x:c>
      <x:c r="D26" s="26" t="n">
        <x:v>5</x:v>
      </x:c>
      <x:c r="E26" s="26" t="str">
        <x:v>zhejiang</x:v>
      </x:c>
      <x:c r="F26" s="26" t="str">
        <x:v>Zhejiang</x:v>
      </x:c>
      <x:c r="G26" s="26" t="str">
        <x:v>China</x:v>
      </x:c>
      <x:c r="H26" s="26" t="str">
        <x:v>province:Zhejiang</x:v>
      </x:c>
      <x:c r="I26" s="66" t="n">
        <x:f>'Provincial Capacity'!L11</x:f>
        <x:v>1344.3582245278863</x:v>
      </x:c>
      <x:c r="J26" s="67" t="str">
        <x:v>2025-03-31</x:v>
      </x:c>
      <x:c r="K26" s="26" t="str">
        <x:v>zhejiang_tariff_2025_06</x:v>
      </x:c>
      <x:c r="L26" s="99" t="n">
        <x:f>'Price Evidence'!L7</x:f>
        <x:v>0.08772425914896433</x:v>
      </x:c>
      <x:c r="M26" s="26" t="str">
        <x:v>constructed_public_tariff_proxy</x:v>
      </x:c>
      <x:c r="N26" s="67" t="str">
        <x:v>2025-06-30</x:v>
      </x:c>
      <x:c r="O26" s="26" t="str">
        <x:v>Huawei CloudMatrix384</x:v>
      </x:c>
      <x:c r="P26" s="26" t="n">
        <x:f>IF(AND(G26="China",C26="Export-control-constrained technology"),'Policy &amp; Inputs'!$B$15,1)</x:f>
        <x:v>2.5</x:v>
      </x:c>
      <x:c r="Q26" s="100" t="n">
        <x:f>('Policy &amp; Inputs'!$B$12*'Policy &amp; Inputs'!$B$13*L26)/('Policy &amp; Inputs'!$B$14*10^15*3600)*10^19*P26</x:f>
        <x:v>0.48735699527202403</x:v>
      </x:c>
      <x:c r="R26" s="100" t="n">
        <x:f>1/Q26</x:f>
        <x:v>2.0518839571428296</x:v>
      </x:c>
      <x:c r="S26" s="26" t="str">
        <x:v>caict_treemap_2025; scio_racks_2025_03; nda_standard_rack; zhejiang_tariff_2025_06; nvidia_gb200_spec; nvidia_gb200_power; huawei_cloudmatrix_performance; semianalysis_cloudmatrix_power; bis_china_policy_2026; federal_reserve_fx_2025</x:v>
      </x:c>
    </x:row>
    <x:row r="27">
      <x:c r="A27" s="26" t="str">
        <x:v>public_price_proxies__export_constrained</x:v>
      </x:c>
      <x:c r="B27" s="26" t="str">
        <x:v>Public-grid-price proxies</x:v>
      </x:c>
      <x:c r="C27" s="26" t="str">
        <x:v>Export-control-constrained technology</x:v>
      </x:c>
      <x:c r="D27" s="26" t="n">
        <x:v>6</x:v>
      </x:c>
      <x:c r="E27" s="26" t="str">
        <x:v>guizhou</x:v>
      </x:c>
      <x:c r="F27" s="26" t="str">
        <x:v>Guizhou</x:v>
      </x:c>
      <x:c r="G27" s="26" t="str">
        <x:v>China</x:v>
      </x:c>
      <x:c r="H27" s="26" t="str">
        <x:v>province:Guizhou</x:v>
      </x:c>
      <x:c r="I27" s="66" t="n">
        <x:f>'Provincial Capacity'!L8</x:f>
        <x:v>1648.6082879197895</x:v>
      </x:c>
      <x:c r="J27" s="67" t="str">
        <x:v>2025-03-31</x:v>
      </x:c>
      <x:c r="K27" s="26" t="str">
        <x:v>guizhou_tariff_2025_06</x:v>
      </x:c>
      <x:c r="L27" s="99" t="n">
        <x:f>'Price Evidence'!L8</x:f>
        <x:v>0.0877813106743432</x:v>
      </x:c>
      <x:c r="M27" s="26" t="str">
        <x:v>constructed_public_tariff_proxy</x:v>
      </x:c>
      <x:c r="N27" s="67" t="str">
        <x:v>2025-06-30</x:v>
      </x:c>
      <x:c r="O27" s="26" t="str">
        <x:v>Huawei CloudMatrix384</x:v>
      </x:c>
      <x:c r="P27" s="26" t="n">
        <x:f>IF(AND(G27="China",C27="Export-control-constrained technology"),'Policy &amp; Inputs'!$B$15,1)</x:f>
        <x:v>2.5</x:v>
      </x:c>
      <x:c r="Q27" s="100" t="n">
        <x:f>('Policy &amp; Inputs'!$B$12*'Policy &amp; Inputs'!$B$13*L27)/('Policy &amp; Inputs'!$B$14*10^15*3600)*10^19*P27</x:f>
        <x:v>0.48767394819079557</x:v>
      </x:c>
      <x:c r="R27" s="100" t="n">
        <x:f>1/Q27</x:f>
        <x:v>2.050550380453713</x:v>
      </x:c>
      <x:c r="S27" s="26" t="str">
        <x:v>caict_treemap_2025; scio_racks_2025_03; nda_standard_rack; guizhou_tariff_2025_06; nvidia_gb200_spec; nvidia_gb200_power; huawei_cloudmatrix_performance; semianalysis_cloudmatrix_power; bis_china_policy_2026; federal_reserve_fx_2025</x:v>
      </x:c>
    </x:row>
    <x:row r="28">
      <x:c r="A28" s="26" t="str">
        <x:v>public_price_proxies__export_constrained</x:v>
      </x:c>
      <x:c r="B28" s="26" t="str">
        <x:v>Public-grid-price proxies</x:v>
      </x:c>
      <x:c r="C28" s="26" t="str">
        <x:v>Export-control-constrained technology</x:v>
      </x:c>
      <x:c r="D28" s="26" t="n">
        <x:v>7</x:v>
      </x:c>
      <x:c r="E28" s="26" t="str">
        <x:v>hebei</x:v>
      </x:c>
      <x:c r="F28" s="26" t="str">
        <x:v>Hebei</x:v>
      </x:c>
      <x:c r="G28" s="26" t="str">
        <x:v>China</x:v>
      </x:c>
      <x:c r="H28" s="26" t="str">
        <x:v>province:Hebei</x:v>
      </x:c>
      <x:c r="I28" s="66" t="n">
        <x:f>'Provincial Capacity'!L5</x:f>
        <x:v>3880.5702777188885</x:v>
      </x:c>
      <x:c r="J28" s="67" t="str">
        <x:v>2025-03-31</x:v>
      </x:c>
      <x:c r="K28" s="26" t="str">
        <x:v>hebei_tariff_2025_04</x:v>
      </x:c>
      <x:c r="L28" s="99" t="n">
        <x:f>'Price Evidence'!L9</x:f>
        <x:v>0.0882966779167494</x:v>
      </x:c>
      <x:c r="M28" s="26" t="str">
        <x:v>constructed_public_tariff_proxy</x:v>
      </x:c>
      <x:c r="N28" s="67" t="str">
        <x:v>2025-04-30</x:v>
      </x:c>
      <x:c r="O28" s="26" t="str">
        <x:v>Huawei CloudMatrix384</x:v>
      </x:c>
      <x:c r="P28" s="26" t="n">
        <x:f>IF(AND(G28="China",C28="Export-control-constrained technology"),'Policy &amp; Inputs'!$B$15,1)</x:f>
        <x:v>2.5</x:v>
      </x:c>
      <x:c r="Q28" s="100" t="n">
        <x:f>('Policy &amp; Inputs'!$B$12*'Policy &amp; Inputs'!$B$13*L28)/('Policy &amp; Inputs'!$B$14*10^15*3600)*10^19*P28</x:f>
        <x:v>0.4905370995374967</x:v>
      </x:c>
      <x:c r="R28" s="100" t="n">
        <x:f>1/Q28</x:f>
        <x:v>2.038581793187204</x:v>
      </x:c>
      <x:c r="S28" s="26" t="str">
        <x:v>caict_treemap_2025; scio_racks_2025_03; nda_standard_rack; jibei_tariff_2025_04; nvidia_gb200_spec; nvidia_gb200_power; huawei_cloudmatrix_performance; semianalysis_cloudmatrix_power; bis_china_policy_2026; federal_reserve_fx_2025</x:v>
      </x:c>
    </x:row>
    <x:row r="29">
      <x:c r="A29" s="26" t="str">
        <x:v>public_price_proxies__export_constrained</x:v>
      </x:c>
      <x:c r="B29" s="26" t="str">
        <x:v>Public-grid-price proxies</x:v>
      </x:c>
      <x:c r="C29" s="26" t="str">
        <x:v>Export-control-constrained technology</x:v>
      </x:c>
      <x:c r="D29" s="26" t="n">
        <x:v>8</x:v>
      </x:c>
      <x:c r="E29" s="26" t="str">
        <x:v>jiangsu</x:v>
      </x:c>
      <x:c r="F29" s="26" t="str">
        <x:v>Jiangsu</x:v>
      </x:c>
      <x:c r="G29" s="26" t="str">
        <x:v>China</x:v>
      </x:c>
      <x:c r="H29" s="26" t="str">
        <x:v>province:Jiangsu</x:v>
      </x:c>
      <x:c r="I29" s="66" t="n">
        <x:f>'Provincial Capacity'!L7</x:f>
        <x:v>1921.7504894686303</x:v>
      </x:c>
      <x:c r="J29" s="67" t="str">
        <x:v>2025-03-31</x:v>
      </x:c>
      <x:c r="K29" s="26" t="str">
        <x:v>jiangsu_tariff_2025_06</x:v>
      </x:c>
      <x:c r="L29" s="99" t="n">
        <x:f>'Price Evidence'!L10</x:f>
        <x:v>0.09295147640791476</x:v>
      </x:c>
      <x:c r="M29" s="26" t="str">
        <x:v>constructed_public_tariff_proxy</x:v>
      </x:c>
      <x:c r="N29" s="67" t="str">
        <x:v>2025-06-30</x:v>
      </x:c>
      <x:c r="O29" s="26" t="str">
        <x:v>Huawei CloudMatrix384</x:v>
      </x:c>
      <x:c r="P29" s="26" t="n">
        <x:f>IF(AND(G29="China",C29="Export-control-constrained technology"),'Policy &amp; Inputs'!$B$15,1)</x:f>
        <x:v>2.5</x:v>
      </x:c>
      <x:c r="Q29" s="100" t="n">
        <x:f>('Policy &amp; Inputs'!$B$12*'Policy &amp; Inputs'!$B$13*L29)/('Policy &amp; Inputs'!$B$14*10^15*3600)*10^19*P29</x:f>
        <x:v>0.516397091155082</x:v>
      </x:c>
      <x:c r="R29" s="100" t="n">
        <x:f>1/Q29</x:f>
        <x:v>1.9364942543793</x:v>
      </x:c>
      <x:c r="S29" s="26" t="str">
        <x:v>caict_treemap_2025; scio_racks_2025_03; nda_standard_rack; jiangsu_tariff_2025_06; nvidia_gb200_spec; nvidia_gb200_power; huawei_cloudmatrix_performance; semianalysis_cloudmatrix_power; bis_china_policy_2026; federal_reserve_fx_2025</x:v>
      </x:c>
    </x:row>
    <x:row r="30">
      <x:c r="A30" s="26" t="str">
        <x:v>public_price_proxies__export_constrained</x:v>
      </x:c>
      <x:c r="B30" s="26" t="str">
        <x:v>Public-grid-price proxies</x:v>
      </x:c>
      <x:c r="C30" s="26" t="str">
        <x:v>Export-control-constrained technology</x:v>
      </x:c>
      <x:c r="D30" s="26" t="n">
        <x:v>9</x:v>
      </x:c>
      <x:c r="E30" s="26" t="str">
        <x:v>beijing</x:v>
      </x:c>
      <x:c r="F30" s="26" t="str">
        <x:v>Beijing</x:v>
      </x:c>
      <x:c r="G30" s="26" t="str">
        <x:v>China</x:v>
      </x:c>
      <x:c r="H30" s="26" t="str">
        <x:v>province:Beijing</x:v>
      </x:c>
      <x:c r="I30" s="66" t="n">
        <x:f>'Provincial Capacity'!L12</x:f>
        <x:v>1310.3238390968004</x:v>
      </x:c>
      <x:c r="J30" s="67" t="str">
        <x:v>2025-03-31</x:v>
      </x:c>
      <x:c r="K30" s="26" t="str">
        <x:v>beijing_tariff_2025_04</x:v>
      </x:c>
      <x:c r="L30" s="99" t="n">
        <x:f>'Price Evidence'!L11</x:f>
        <x:v>0.09638554584077824</x:v>
      </x:c>
      <x:c r="M30" s="26" t="str">
        <x:v>constructed_public_tariff_proxy</x:v>
      </x:c>
      <x:c r="N30" s="67" t="str">
        <x:v>2025-04-30</x:v>
      </x:c>
      <x:c r="O30" s="26" t="str">
        <x:v>Huawei CloudMatrix384</x:v>
      </x:c>
      <x:c r="P30" s="26" t="n">
        <x:f>IF(AND(G30="China",C30="Export-control-constrained technology"),'Policy &amp; Inputs'!$B$15,1)</x:f>
        <x:v>2.5</x:v>
      </x:c>
      <x:c r="Q30" s="100" t="n">
        <x:f>('Policy &amp; Inputs'!$B$12*'Policy &amp; Inputs'!$B$13*L30)/('Policy &amp; Inputs'!$B$14*10^15*3600)*10^19*P30</x:f>
        <x:v>0.5354752546709902</x:v>
      </x:c>
      <x:c r="R30" s="100" t="n">
        <x:f>1/Q30</x:f>
        <x:v>1.867499928851849</x:v>
      </x:c>
      <x:c r="S30" s="26" t="str">
        <x:v>caict_treemap_2025; scio_racks_2025_03; nda_standard_rack; beijing_tariff_2025_04; nvidia_gb200_spec; nvidia_gb200_power; huawei_cloudmatrix_performance; semianalysis_cloudmatrix_power; bis_china_policy_2026; federal_reserve_fx_2025</x:v>
      </x:c>
    </x:row>
    <x:row r="31">
      <x:c r="A31" s="26" t="str">
        <x:v>public_price_proxies__export_constrained</x:v>
      </x:c>
      <x:c r="B31" s="26" t="str">
        <x:v>Public-grid-price proxies</x:v>
      </x:c>
      <x:c r="C31" s="26" t="str">
        <x:v>Export-control-constrained technology</x:v>
      </x:c>
      <x:c r="D31" s="26" t="n">
        <x:v>10</x:v>
      </x:c>
      <x:c r="E31" s="26" t="str">
        <x:v>guangdong</x:v>
      </x:c>
      <x:c r="F31" s="26" t="str">
        <x:v>Guangdong</x:v>
      </x:c>
      <x:c r="G31" s="26" t="str">
        <x:v>China</x:v>
      </x:c>
      <x:c r="H31" s="26" t="str">
        <x:v>province:Guangdong</x:v>
      </x:c>
      <x:c r="I31" s="66" t="n">
        <x:f>'Provincial Capacity'!L6</x:f>
        <x:v>2515.184439262243</x:v>
      </x:c>
      <x:c r="J31" s="67" t="str">
        <x:v>2025-03-31</x:v>
      </x:c>
      <x:c r="K31" s="26" t="str">
        <x:v>guangdong_tariff_2025_04</x:v>
      </x:c>
      <x:c r="L31" s="99" t="n">
        <x:f>'Price Evidence'!L12</x:f>
        <x:v>0.09977779763086493</x:v>
      </x:c>
      <x:c r="M31" s="26" t="str">
        <x:v>constructed_public_tariff_proxy</x:v>
      </x:c>
      <x:c r="N31" s="67" t="str">
        <x:v>2025-04-30</x:v>
      </x:c>
      <x:c r="O31" s="26" t="str">
        <x:v>Huawei CloudMatrix384</x:v>
      </x:c>
      <x:c r="P31" s="26" t="n">
        <x:f>IF(AND(G31="China",C31="Export-control-constrained technology"),'Policy &amp; Inputs'!$B$15,1)</x:f>
        <x:v>2.5</x:v>
      </x:c>
      <x:c r="Q31" s="100" t="n">
        <x:f>('Policy &amp; Inputs'!$B$12*'Policy &amp; Inputs'!$B$13*L31)/('Policy &amp; Inputs'!$B$14*10^15*3600)*10^19*P31</x:f>
        <x:v>0.5543210979492496</x:v>
      </x:c>
      <x:c r="R31" s="100" t="n">
        <x:f>1/Q31</x:f>
        <x:v>1.804008549736915</x:v>
      </x:c>
      <x:c r="S31" s="26" t="str">
        <x:v>caict_treemap_2025; scio_racks_2025_03; nda_standard_rack; guangdong_tariff_2025_04; nvidia_gb200_spec; nvidia_gb200_power; huawei_cloudmatrix_performance; semianalysis_cloudmatrix_power; bis_china_policy_2026; federal_reserve_fx_2025</x:v>
      </x:c>
    </x:row>
    <x:row r="32">
      <x:c r="A32" s="31" t="str">
        <x:v>public_price_proxies__export_constrained</x:v>
      </x:c>
      <x:c r="B32" s="31" t="str">
        <x:v>Public-grid-price proxies</x:v>
      </x:c>
      <x:c r="C32" s="31" t="str">
        <x:v>Export-control-constrained technology</x:v>
      </x:c>
      <x:c r="D32" s="31" t="n">
        <x:v>11</x:v>
      </x:c>
      <x:c r="E32" s="31" t="str">
        <x:v>shandong</x:v>
      </x:c>
      <x:c r="F32" s="31" t="str">
        <x:v>Shandong</x:v>
      </x:c>
      <x:c r="G32" s="31" t="str">
        <x:v>China</x:v>
      </x:c>
      <x:c r="H32" s="31" t="str">
        <x:v>province:Shandong</x:v>
      </x:c>
      <x:c r="I32" s="70" t="n">
        <x:f>'Provincial Capacity'!L14</x:f>
        <x:v>1047.0451059372233</x:v>
      </x:c>
      <x:c r="J32" s="71" t="str">
        <x:v>2025-03-31</x:v>
      </x:c>
      <x:c r="K32" s="31" t="str">
        <x:v>shandong_tariff_2025_03</x:v>
      </x:c>
      <x:c r="L32" s="101" t="n">
        <x:f>'Price Evidence'!L13</x:f>
        <x:v>0.10134895506584607</x:v>
      </x:c>
      <x:c r="M32" s="31" t="str">
        <x:v>constructed_public_tariff_proxy</x:v>
      </x:c>
      <x:c r="N32" s="71" t="str">
        <x:v>2025-03-31</x:v>
      </x:c>
      <x:c r="O32" s="31" t="str">
        <x:v>Huawei CloudMatrix384</x:v>
      </x:c>
      <x:c r="P32" s="31" t="n">
        <x:f>IF(AND(G32="China",C32="Export-control-constrained technology"),'Policy &amp; Inputs'!$B$15,1)</x:f>
        <x:v>2.5</x:v>
      </x:c>
      <x:c r="Q32" s="102" t="n">
        <x:f>('Policy &amp; Inputs'!$B$12*'Policy &amp; Inputs'!$B$13*L32)/('Policy &amp; Inputs'!$B$14*10^15*3600)*10^19*P32</x:f>
        <x:v>0.5630497503658115</x:v>
      </x:c>
      <x:c r="R32" s="102" t="n">
        <x:f>1/Q32</x:f>
        <x:v>1.776041991582988</x:v>
      </x:c>
      <x:c r="S32" s="31" t="str">
        <x:v>caict_treemap_2025; scio_racks_2025_03; nda_standard_rack; shandong_tariff_2025_03; nvidia_gb200_spec; nvidia_gb200_power; huawei_cloudmatrix_performance; semianalysis_cloudmatrix_power; bis_china_policy_2026; federal_reserve_fx_2025</x:v>
      </x:c>
    </x:row>
  </x:sheetData>
  <x:mergeCells>
    <x:mergeCell ref="A1:S1"/>
    <x:mergeCell ref="A2:S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30" hidden="0" customWidth="1"/>
    <x:col min="3" max="3" width="42" hidden="0" customWidth="1"/>
    <x:col min="4" max="4" width="18" hidden="0" customWidth="1"/>
    <x:col min="5" max="5" width="18" hidden="0" customWidth="1"/>
    <x:col min="6" max="6" width="48" hidden="0" customWidth="1"/>
    <x:col min="7" max="7" width="48" hidden="0" customWidth="1"/>
    <x:col min="8" max="8" width="18" hidden="0" customWidth="1"/>
    <x:col min="9" max="9" width="52" hidden="0" customWidth="1"/>
    <x:col min="10" max="10" width="17" hidden="0" customWidth="1"/>
    <x:col min="11" max="11" width="17" hidden="0" customWidth="1"/>
    <x:col min="12" max="12" width="65" hidden="0" customWidth="1"/>
    <x:col min="13" max="13" width="16" hidden="0" customWidth="1"/>
  </x:cols>
  <x:sheetData>
    <x:row r="1" ht="31" customHeight="1">
      <x:c r="A1" s="3" t="str">
        <x:v>Source verification — complete source-by-source register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ht="28" customHeight="1">
      <x:c r="A2" s="7" t="str">
        <x:v>Reproduction checks are complete. Independent human review remains pending and is not implied by automated validation.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</x:row>
    <x:row r="4" ht="34" customHeight="1">
      <x:c r="A4" s="11" t="str">
        <x:v>ID</x:v>
      </x:c>
      <x:c r="B4" s="11" t="str">
        <x:v>Publisher</x:v>
      </x:c>
      <x:c r="C4" s="11" t="str">
        <x:v>Title</x:v>
      </x:c>
      <x:c r="D4" s="11" t="str">
        <x:v>Tier</x:v>
      </x:c>
      <x:c r="E4" s="11" t="str">
        <x:v>Publication date</x:v>
      </x:c>
      <x:c r="F4" s="11" t="str">
        <x:v>Claim</x:v>
      </x:c>
      <x:c r="G4" s="11" t="str">
        <x:v>Exact locator</x:v>
      </x:c>
      <x:c r="H4" s="11" t="str">
        <x:v>Verification status</x:v>
      </x:c>
      <x:c r="I4" s="11" t="str">
        <x:v>Verification method</x:v>
      </x:c>
      <x:c r="J4" s="11" t="str">
        <x:v>Verified on</x:v>
      </x:c>
      <x:c r="K4" s="11" t="str">
        <x:v>Human review</x:v>
      </x:c>
      <x:c r="L4" s="11" t="str">
        <x:v>URL</x:v>
      </x:c>
      <x:c r="M4" s="11" t="str">
        <x:v>Used in display?</x:v>
      </x:c>
    </x:row>
    <x:row r="5">
      <x:c r="A5" s="24" t="str">
        <x:v>caict_treemap_2025</x:v>
      </x:c>
      <x:c r="B5" s="24" t="str">
        <x:v>China Academy of Information and Communications Technology</x:v>
      </x:c>
      <x:c r="C5" s="79" t="str">
        <x:v>Comprehensive Computing Power Index Blue Book (2025)</x:v>
      </x:c>
      <x:c r="D5" s="79" t="str">
        <x:v>primary</x:v>
      </x:c>
      <x:c r="E5" s="103" t="n">
        <x:v>46023</x:v>
      </x:c>
      <x:c r="F5" s="79" t="str">
        <x:v>Provincial distribution of in-use standard racks and the top-ten order.</x:v>
      </x:c>
      <x:c r="G5" s="79" t="str">
        <x:v>PDF page 22 / report page 16, Figure 6; Appendix 1 states unspecified data are through 2025-03-31; Appendix 3 defines in-use racks.</x:v>
      </x:c>
      <x:c r="H5" s="79" t="str">
        <x:v>verified</x:v>
      </x:c>
      <x:c r="I5" s="79" t="str">
        <x:v>Downloaded PDF, extracted text, rendered Figure 6, recorded SHA-256 and independently reconciled all 31 rectangles.</x:v>
      </x:c>
      <x:c r="J5" s="103" t="n">
        <x:v>46267</x:v>
      </x:c>
      <x:c r="K5" s="79" t="str">
        <x:v>pending</x:v>
      </x:c>
      <x:c r="L5" s="79" t="str">
        <x:v>https://13115299.s21i.faiusr.com/61/1/ABUIABA9GAAg4pOYywYogpflxgc.pdf</x:v>
      </x:c>
      <x:c r="M5" s="79" t="str">
        <x:v>Yes</x:v>
      </x:c>
    </x:row>
    <x:row r="6">
      <x:c r="A6" s="26" t="str">
        <x:v>scio_racks_2025_03</x:v>
      </x:c>
      <x:c r="B6" s="26" t="str">
        <x:v>State Council Information Office of China</x:v>
      </x:c>
      <x:c r="C6" s="80" t="str">
        <x:v>Briefing on development of industry and information technology in the first half of 2025</x:v>
      </x:c>
      <x:c r="D6" s="80" t="str">
        <x:v>official</x:v>
      </x:c>
      <x:c r="E6" s="104" t="n">
        <x:v>45856</x:v>
      </x:c>
      <x:c r="F6" s="80" t="str">
        <x:v>10.43 million standard computing-power racks were in use at 2025-03-31.</x:v>
      </x:c>
      <x:c r="G6" s="80" t="str">
        <x:v>Briefing answer by Xie Cun, paragraph beginning 'Network capabilities have been enhanced.'</x:v>
      </x:c>
      <x:c r="H6" s="80" t="str">
        <x:v>verified</x:v>
      </x:c>
      <x:c r="I6" s="80" t="str">
        <x:v>Exact figure and observation date checked against the official briefing text.</x:v>
      </x:c>
      <x:c r="J6" s="104" t="n">
        <x:v>46267</x:v>
      </x:c>
      <x:c r="K6" s="80" t="str">
        <x:v>pending</x:v>
      </x:c>
      <x:c r="L6" s="80" t="str">
        <x:v>https://english.scio.gov.cn/pressroom/node_9016674.html</x:v>
      </x:c>
      <x:c r="M6" s="80" t="str">
        <x:v>Yes</x:v>
      </x:c>
    </x:row>
    <x:row r="7">
      <x:c r="A7" s="26" t="str">
        <x:v>nda_standard_rack</x:v>
      </x:c>
      <x:c r="B7" s="26" t="str">
        <x:v>National Data Administration</x:v>
      </x:c>
      <x:c r="C7" s="80" t="str">
        <x:v>National integrated computing network: computing-center monitoring indicators</x:v>
      </x:c>
      <x:c r="D7" s="80" t="str">
        <x:v>official</x:v>
      </x:c>
      <x:c r="E7" s="104" t="n">
        <x:v>45809</x:v>
      </x:c>
      <x:c r="F7" s="80" t="str">
        <x:v>Standard racks normalize rack power at 2.5 kW.</x:v>
      </x:c>
      <x:c r="G7" s="80" t="str">
        <x:v>Section 6.2.3, Table 3: rack total formula = rack power / 2.5 kW × rack count.</x:v>
      </x:c>
      <x:c r="H7" s="80" t="str">
        <x:v>verified</x:v>
      </x:c>
      <x:c r="I7" s="80" t="str">
        <x:v>Formula checked in the official technical document.</x:v>
      </x:c>
      <x:c r="J7" s="104" t="n">
        <x:v>46267</x:v>
      </x:c>
      <x:c r="K7" s="80" t="str">
        <x:v>pending</x:v>
      </x:c>
      <x:c r="L7" s="80" t="str">
        <x:v>https://www.nda.gov.cn/sjj/ywpd/szkjyjcss/0608/ff808081-96b465bf-0197-4f0dae39-0700.pdf</x:v>
      </x:c>
      <x:c r="M7" s="80" t="str">
        <x:v>Yes</x:v>
      </x:c>
    </x:row>
    <x:row r="8">
      <x:c r="A8" s="26" t="str">
        <x:v>cbre_inventory_h2_2025</x:v>
      </x:c>
      <x:c r="B8" s="26" t="str">
        <x:v>CBRE</x:v>
      </x:c>
      <x:c r="C8" s="80" t="str">
        <x:v>Northern Virginia Extends Lead as Largest U.S. Data Center Market in 2025</x:v>
      </x:c>
      <x:c r="D8" s="80" t="str">
        <x:v>primary</x:v>
      </x:c>
      <x:c r="E8" s="104" t="n">
        <x:v>46099</x:v>
      </x:c>
      <x:c r="F8" s="80" t="str">
        <x:v>H2 2025 inventory: Northern Virginia 4,039.6 MW, Dallas–Fort Worth 1,067.3 MW, Montreal 229.5 MW.</x:v>
      </x:c>
      <x:c r="G8" s="80" t="str">
        <x:v>Top 10 Largest North American Data Center Markets by Inventory table.</x:v>
      </x:c>
      <x:c r="H8" s="80" t="str">
        <x:v>verified</x:v>
      </x:c>
      <x:c r="I8" s="80" t="str">
        <x:v>All three values checked in CBRE's published table.</x:v>
      </x:c>
      <x:c r="J8" s="104" t="n">
        <x:v>46267</x:v>
      </x:c>
      <x:c r="K8" s="80" t="str">
        <x:v>pending</x:v>
      </x:c>
      <x:c r="L8" s="80" t="str">
        <x:v>https://www.cbre.com/press-releases/northern-virginia-extends-lead-as-largest-u-s-data-center-market-in-2025</x:v>
      </x:c>
      <x:c r="M8" s="80" t="str">
        <x:v>Yes</x:v>
      </x:c>
    </x:row>
    <x:row r="9">
      <x:c r="A9" s="26" t="str">
        <x:v>cbre_capacity_glossary</x:v>
      </x:c>
      <x:c r="B9" s="26" t="str">
        <x:v>CBRE Research</x:v>
      </x:c>
      <x:c r="C9" s="80" t="str">
        <x:v>U.S. Data Center Trends Report H2 2017 — market definitions</x:v>
      </x:c>
      <x:c r="D9" s="80" t="str">
        <x:v>primary-mirror</x:v>
      </x:c>
      <x:c r="E9" s="104" t="n">
        <x:v>43101</x:v>
      </x:c>
      <x:c r="F9" s="80" t="str">
        <x:v>Wholesale capacity is existing/commissioned power; wholesale colocation provides infrastructure to the PDU.</x:v>
      </x:c>
      <x:c r="G9" s="80" t="str">
        <x:v>PDF page 17, Market Definitions.</x:v>
      </x:c>
      <x:c r="H9" s="80" t="str">
        <x:v>verified</x:v>
      </x:c>
      <x:c r="I9" s="80" t="str">
        <x:v>CBRE glossary language checked in a university-hosted copy of the report.</x:v>
      </x:c>
      <x:c r="J9" s="104" t="n">
        <x:v>46267</x:v>
      </x:c>
      <x:c r="K9" s="80" t="str">
        <x:v>pending</x:v>
      </x:c>
      <x:c r="L9" s="80" t="str">
        <x:v>https://trerc.tamu.edu/wp-content/uploads/files/PDFs/MktResearch/US_DataCenterTrends_CBRE_Semiannual.pdf</x:v>
      </x:c>
      <x:c r="M9" s="80" t="str">
        <x:v>Yes</x:v>
      </x:c>
    </x:row>
    <x:row r="10">
      <x:c r="A10" s="26" t="str">
        <x:v>hohhot_capacity_2023</x:v>
      </x:c>
      <x:c r="B10" s="26" t="str">
        <x:v>Guojin Securities, citing Tsinghua IGI</x:v>
      </x:c>
      <x:c r="C10" s="80" t="str">
        <x:v>How much green-power demand comes from data centers, and how can supply match it?</x:v>
      </x:c>
      <x:c r="D10" s="80" t="str">
        <x:v>secondary</x:v>
      </x:c>
      <x:c r="E10" s="104" t="n">
        <x:v>45719</x:v>
      </x:c>
      <x:c r="F10" s="80" t="str">
        <x:v>Hohhot/Helinger subset: 11 centers, 16,091 standard racks per center, 60.9% utilization, 107,793 in-use racks, PUE 1.21 and 326 MW campus power.</x:v>
      </x:c>
      <x:c r="G10" s="80" t="str">
        <x:v>PDF report page 10, Figure 18.</x:v>
      </x:c>
      <x:c r="H10" s="80" t="str">
        <x:v>verified_derived</x:v>
      </x:c>
      <x:c r="I10" s="80" t="str">
        <x:v>Downloaded PDF and checked every input. Recomputed 442.5 MW design IT capacity and separately reconciled the reported 326 MW occupied facility load.</x:v>
      </x:c>
      <x:c r="J10" s="104" t="n">
        <x:v>46267</x:v>
      </x:c>
      <x:c r="K10" s="80" t="str">
        <x:v>pending</x:v>
      </x:c>
      <x:c r="L10" s="80" t="str">
        <x:v>https://pdf.dfcfw.com/pdf/H3_AP202503031643671670_1.pdf</x:v>
      </x:c>
      <x:c r="M10" s="80" t="str">
        <x:v>Yes</x:v>
      </x:c>
    </x:row>
    <x:row r="11">
      <x:c r="A11" s="26" t="str">
        <x:v>hohhot_price_2025</x:v>
      </x:c>
      <x:c r="B11" s="26" t="str">
        <x:v>National Energy Administration</x:v>
      </x:c>
      <x:c r="C11" s="80" t="str">
        <x:v>Hohhot builds a world computing valley</x:v>
      </x:c>
      <x:c r="D11" s="80" t="str">
        <x:v>official</x:v>
      </x:c>
      <x:c r="E11" s="104" t="n">
        <x:v>45856</x:v>
      </x:c>
      <x:c r="F11" s="80" t="str">
        <x:v>Delivered transaction price for data-center green power was stable at about CNY 0.35/kWh.</x:v>
      </x:c>
      <x:c r="G11" s="80" t="str">
        <x:v>Paragraph beginning '目前，和林格尔新区已落地'.</x:v>
      </x:c>
      <x:c r="H11" s="80" t="str">
        <x:v>verified</x:v>
      </x:c>
      <x:c r="I11" s="80" t="str">
        <x:v>Exact price and boundary checked in the official article.</x:v>
      </x:c>
      <x:c r="J11" s="104" t="n">
        <x:v>46267</x:v>
      </x:c>
      <x:c r="K11" s="80" t="str">
        <x:v>pending</x:v>
      </x:c>
      <x:c r="L11" s="80" t="str">
        <x:v>https://www.nea.gov.cn/20250718/410e42d872e4417687cb5b0ab357d088/c.html</x:v>
      </x:c>
      <x:c r="M11" s="80" t="str">
        <x:v>Yes</x:v>
      </x:c>
    </x:row>
    <x:row r="12">
      <x:c r="A12" s="26" t="str">
        <x:v>mongxi_tariff_2025_06</x:v>
      </x:c>
      <x:c r="B12" s="26" t="str">
        <x:v>Inner Mongolia Power Group / Xilingol League Administration</x:v>
      </x:c>
      <x:c r="C12" s="80" t="str">
        <x:v>June 2025 proxy-purchase price announcement</x:v>
      </x:c>
      <x:c r="D12" s="80" t="str">
        <x:v>official</x:v>
      </x:c>
      <x:c r="E12" s="104" t="n">
        <x:v>45807</x:v>
      </x:c>
      <x:c r="F12" s="80" t="str">
        <x:v>110 kV two-part energy price CNY 0.442525/kWh and maximum-demand charge CNY 31.2/kW-month.</x:v>
      </x:c>
      <x:c r="G12" s="80" t="str">
        <x:v>Attached tariff table, 110 kV two-part row.</x:v>
      </x:c>
      <x:c r="H12" s="80" t="str">
        <x:v>verified</x:v>
      </x:c>
      <x:c r="I12" s="80" t="str">
        <x:v>Official announcement checked; exact table values cross-checked against a machine-readable transcription.</x:v>
      </x:c>
      <x:c r="J12" s="104" t="n">
        <x:v>46267</x:v>
      </x:c>
      <x:c r="K12" s="80" t="str">
        <x:v>pending</x:v>
      </x:c>
      <x:c r="L12" s="80" t="str">
        <x:v>https://www.xlgl.gov.cn/xlgl/zw/zwgk/tzgg/2025090509233740836/index.html</x:v>
      </x:c>
      <x:c r="M12" s="80" t="str">
        <x:v>Yes</x:v>
      </x:c>
    </x:row>
    <x:row r="13">
      <x:c r="A13" s="26" t="str">
        <x:v>zhejiang_tariff_2025_06</x:v>
      </x:c>
      <x:c r="B13" s="26" t="str">
        <x:v>State Grid Zhejiang Electric Power</x:v>
      </x:c>
      <x:c r="C13" s="80" t="str">
        <x:v>June 2025 proxy-purchase industrial and commercial tariff</x:v>
      </x:c>
      <x:c r="D13" s="80" t="str">
        <x:v>official</x:v>
      </x:c>
      <x:c r="E13" s="104" t="n">
        <x:v>45778</x:v>
      </x:c>
      <x:c r="F13" s="80" t="str">
        <x:v>110 kV two-part energy price CNY 0.5672/kWh and maximum-demand charge CNY 41.6/kW-month.</x:v>
      </x:c>
      <x:c r="G13" s="80" t="str">
        <x:v>Tariff table, industrial/commercial 110 kV row.</x:v>
      </x:c>
      <x:c r="H13" s="80" t="str">
        <x:v>verified</x:v>
      </x:c>
      <x:c r="I13" s="80" t="str">
        <x:v>Exact values and effective period checked in the source PDF.</x:v>
      </x:c>
      <x:c r="J13" s="104" t="n">
        <x:v>46267</x:v>
      </x:c>
      <x:c r="K13" s="80" t="str">
        <x:v>pending</x:v>
      </x:c>
      <x:c r="L13" s="80" t="str">
        <x:v>https://zjjcmspublic.oss-cn-hangzhou-zwynet-d01-a.internet.cloud.zj.gov.cn/jcms_files/jcms1/web2241/site/attach/0/d94d1693bc7042f0a4349368bbb18419.pdf</x:v>
      </x:c>
      <x:c r="M13" s="80" t="str">
        <x:v>Yes</x:v>
      </x:c>
    </x:row>
    <x:row r="14">
      <x:c r="A14" s="26" t="str">
        <x:v>guizhou_tariff_2025_06</x:v>
      </x:c>
      <x:c r="B14" s="26" t="str">
        <x:v>Guizhou Power Grid / Liupanshui municipal government</x:v>
      </x:c>
      <x:c r="C14" s="80" t="str">
        <x:v>June 2025 proxy-purchase tariff</x:v>
      </x:c>
      <x:c r="D14" s="80" t="str">
        <x:v>official</x:v>
      </x:c>
      <x:c r="E14" s="104" t="n">
        <x:v>45778</x:v>
      </x:c>
      <x:c r="F14" s="80" t="str">
        <x:v>110 kV two-part energy price CNY 0.583744/kWh and maximum-demand charge CNY 31/kW-month.</x:v>
      </x:c>
      <x:c r="G14" s="80" t="str">
        <x:v>Tariff table, 110 kV two-part row.</x:v>
      </x:c>
      <x:c r="H14" s="80" t="str">
        <x:v>verified</x:v>
      </x:c>
      <x:c r="I14" s="80" t="str">
        <x:v>Exact values and effective period checked in the government-hosted PDF.</x:v>
      </x:c>
      <x:c r="J14" s="104" t="n">
        <x:v>46267</x:v>
      </x:c>
      <x:c r="K14" s="80" t="str">
        <x:v>pending</x:v>
      </x:c>
      <x:c r="L14" s="80" t="str">
        <x:v>https://www.lp.gov.cn/xwdt/gsgg/202505/P020250805466901120249.pdf</x:v>
      </x:c>
      <x:c r="M14" s="80" t="str">
        <x:v>Yes</x:v>
      </x:c>
    </x:row>
    <x:row r="15">
      <x:c r="A15" s="26" t="str">
        <x:v>jibei_tariff_2025_04</x:v>
      </x:c>
      <x:c r="B15" s="26" t="str">
        <x:v>State Grid Jibei Electric Power</x:v>
      </x:c>
      <x:c r="C15" s="80" t="str">
        <x:v>April 2025 proxy-purchase tariff</x:v>
      </x:c>
      <x:c r="D15" s="80" t="str">
        <x:v>official-copy</x:v>
      </x:c>
      <x:c r="E15" s="104" t="n">
        <x:v>45717</x:v>
      </x:c>
      <x:c r="F15" s="80" t="str">
        <x:v>110 kV two-part energy price CNY 0.58196875/kWh and maximum-demand charge CNY 34.6/kW-month.</x:v>
      </x:c>
      <x:c r="G15" s="80" t="str">
        <x:v>Appendix 4, 110 kV two-part row.</x:v>
      </x:c>
      <x:c r="H15" s="80" t="str">
        <x:v>verified</x:v>
      </x:c>
      <x:c r="I15" s="80" t="str">
        <x:v>Exact values and effective period checked in the published table.</x:v>
      </x:c>
      <x:c r="J15" s="104" t="n">
        <x:v>46267</x:v>
      </x:c>
      <x:c r="K15" s="80" t="str">
        <x:v>pending</x:v>
      </x:c>
      <x:c r="L15" s="80" t="str">
        <x:v>https://ele.aiit.org.cn/static/elefile/99303281758074622710101893155890.pdf</x:v>
      </x:c>
      <x:c r="M15" s="80" t="str">
        <x:v>Yes</x:v>
      </x:c>
    </x:row>
    <x:row r="16">
      <x:c r="A16" s="26" t="str">
        <x:v>jiangsu_tariff_2025_06</x:v>
      </x:c>
      <x:c r="B16" s="26" t="str">
        <x:v>State Grid Jiangsu / Jintan District Government</x:v>
      </x:c>
      <x:c r="C16" s="80" t="str">
        <x:v>June 2025 proxy-purchase industrial and commercial tariff</x:v>
      </x:c>
      <x:c r="D16" s="80" t="str">
        <x:v>official</x:v>
      </x:c>
      <x:c r="E16" s="104" t="n">
        <x:v>45832</x:v>
      </x:c>
      <x:c r="F16" s="80" t="str">
        <x:v>110 kV two-part energy price CNY 0.5999/kWh and maximum-demand charge CNY 44.8/kW-month.</x:v>
      </x:c>
      <x:c r="G16" s="80" t="str">
        <x:v>Appendix 2, lines/table row for 110 kV two-part users.</x:v>
      </x:c>
      <x:c r="H16" s="80" t="str">
        <x:v>verified</x:v>
      </x:c>
      <x:c r="I16" s="80" t="str">
        <x:v>Exact values, formula components and effective period checked in the government page.</x:v>
      </x:c>
      <x:c r="J16" s="104" t="n">
        <x:v>46267</x:v>
      </x:c>
      <x:c r="K16" s="80" t="str">
        <x:v>pending</x:v>
      </x:c>
      <x:c r="L16" s="80" t="str">
        <x:v>https://www.jintan.gov.cn/html/czjt/2025/JFKEQAOD_0624/281022.html</x:v>
      </x:c>
      <x:c r="M16" s="80" t="str">
        <x:v>Yes</x:v>
      </x:c>
    </x:row>
    <x:row r="17">
      <x:c r="A17" s="26" t="str">
        <x:v>beijing_tariff_2025_04</x:v>
      </x:c>
      <x:c r="B17" s="26" t="str">
        <x:v>State Grid Beijing Electric Power</x:v>
      </x:c>
      <x:c r="C17" s="80" t="str">
        <x:v>April 2025 proxy-purchase tariff</x:v>
      </x:c>
      <x:c r="D17" s="80" t="str">
        <x:v>official-copy</x:v>
      </x:c>
      <x:c r="E17" s="104" t="n">
        <x:v>45717</x:v>
      </x:c>
      <x:c r="F17" s="80" t="str">
        <x:v>35–110 kV two-part energy price CNY 0.61971175/kWh and maximum-demand charge CNY 48/kW-month.</x:v>
      </x:c>
      <x:c r="G17" s="80" t="str">
        <x:v>Tariff table, 35–110 kV two-part row.</x:v>
      </x:c>
      <x:c r="H17" s="80" t="str">
        <x:v>verified</x:v>
      </x:c>
      <x:c r="I17" s="80" t="str">
        <x:v>Exact values and effective period checked in the published table.</x:v>
      </x:c>
      <x:c r="J17" s="104" t="n">
        <x:v>46267</x:v>
      </x:c>
      <x:c r="K17" s="80" t="str">
        <x:v>pending</x:v>
      </x:c>
      <x:c r="L17" s="80" t="str">
        <x:v>https://ele.aiit.org.cn/static/elefile/99303281924019507384201247156397.pdf</x:v>
      </x:c>
      <x:c r="M17" s="80" t="str">
        <x:v>Yes</x:v>
      </x:c>
    </x:row>
    <x:row r="18">
      <x:c r="A18" s="26" t="str">
        <x:v>guangdong_tariff_2025_04</x:v>
      </x:c>
      <x:c r="B18" s="26" t="str">
        <x:v>Guangdong Power Grid / Shaoguan municipal government</x:v>
      </x:c>
      <x:c r="C18" s="80" t="str">
        <x:v>April 2025 proxy-purchase industrial and commercial tariff</x:v>
      </x:c>
      <x:c r="D18" s="80" t="str">
        <x:v>official</x:v>
      </x:c>
      <x:c r="E18" s="104" t="n">
        <x:v>45717</x:v>
      </x:c>
      <x:c r="F18" s="80" t="str">
        <x:v>Pearl River Delta 35–110 kV two-part energy price CNY 0.66996875/kWh and maximum-demand charge CNY 31/kW-month.</x:v>
      </x:c>
      <x:c r="G18" s="80" t="str">
        <x:v>Pearl River Delta five-city table, 35–110 kV two-part row.</x:v>
      </x:c>
      <x:c r="H18" s="80" t="str">
        <x:v>verified</x:v>
      </x:c>
      <x:c r="I18" s="80" t="str">
        <x:v>Exact tariff row and effective month checked in the official PDF; earlier unsupported regional capacity weighting removed.</x:v>
      </x:c>
      <x:c r="J18" s="104" t="n">
        <x:v>46267</x:v>
      </x:c>
      <x:c r="K18" s="80" t="str">
        <x:v>pending</x:v>
      </x:c>
      <x:c r="L18" s="80" t="str">
        <x:v>https://www.gdsx.gov.cn/sgsxgdj/attachment/0/272/272080/2734391.pdf</x:v>
      </x:c>
      <x:c r="M18" s="80" t="str">
        <x:v>Yes</x:v>
      </x:c>
    </x:row>
    <x:row r="19">
      <x:c r="A19" s="26" t="str">
        <x:v>shandong_tariff_2025_03</x:v>
      </x:c>
      <x:c r="B19" s="26" t="str">
        <x:v>State Grid Shandong / Yantai municipal government</x:v>
      </x:c>
      <x:c r="C19" s="80" t="str">
        <x:v>March 2025 proxy-purchase industrial and commercial tariff</x:v>
      </x:c>
      <x:c r="D19" s="80" t="str">
        <x:v>official</x:v>
      </x:c>
      <x:c r="E19" s="104" t="n">
        <x:v>45736</x:v>
      </x:c>
      <x:c r="F19" s="80" t="str">
        <x:v>35–110 kV two-part energy price CNY 0.67486875/kWh and maximum-demand charge CNY 35.2/kW-month.</x:v>
      </x:c>
      <x:c r="G19" s="80" t="str">
        <x:v>Tariff table, 35–110 kV two-part row.</x:v>
      </x:c>
      <x:c r="H19" s="80" t="str">
        <x:v>verified</x:v>
      </x:c>
      <x:c r="I19" s="80" t="str">
        <x:v>Exact values and effective period checked in the government page.</x:v>
      </x:c>
      <x:c r="J19" s="104" t="n">
        <x:v>46267</x:v>
      </x:c>
      <x:c r="K19" s="80" t="str">
        <x:v>pending</x:v>
      </x:c>
      <x:c r="L19" s="80" t="str">
        <x:v>https://www.yantai.gov.cn/art/2025/3/20/art_70253_3244147.html</x:v>
      </x:c>
      <x:c r="M19" s="80" t="str">
        <x:v>Yes</x:v>
      </x:c>
    </x:row>
    <x:row r="20">
      <x:c r="A20" s="26" t="str">
        <x:v>hydroquebec_rate_lg_2025</x:v>
      </x:c>
      <x:c r="B20" s="26" t="str">
        <x:v>Hydro-Québec</x:v>
      </x:c>
      <x:c r="C20" s="80" t="str">
        <x:v>Electricity Rates Effective April 1, 2025</x:v>
      </x:c>
      <x:c r="D20" s="80" t="str">
        <x:v>official</x:v>
      </x:c>
      <x:c r="E20" s="104" t="n">
        <x:v>45748</x:v>
      </x:c>
      <x:c r="F20" s="80" t="str">
        <x:v>Rate LG: CAD 15.963/kW-month plus CAD 0.04165/kWh; high-voltage credit CAD 3.0063/kW-month at 80–170 kV.</x:v>
      </x:c>
      <x:c r="G20" s="80" t="str">
        <x:v>Articles 5.14–5.15 and high-voltage credit table in Chapter 12.</x:v>
      </x:c>
      <x:c r="H20" s="80" t="str">
        <x:v>verified</x:v>
      </x:c>
      <x:c r="I20" s="80" t="str">
        <x:v>Rate applicability and each price component checked in Hydro-Québec's rate book.</x:v>
      </x:c>
      <x:c r="J20" s="104" t="n">
        <x:v>46267</x:v>
      </x:c>
      <x:c r="K20" s="80" t="str">
        <x:v>pending</x:v>
      </x:c>
      <x:c r="L20" s="80" t="str">
        <x:v>https://www.hydroquebec.com/data/documents-donnees/pdf/electricity-rates.pdf?v=HT-2025-v3</x:v>
      </x:c>
      <x:c r="M20" s="80" t="str">
        <x:v>Yes</x:v>
      </x:c>
    </x:row>
    <x:row r="21">
      <x:c r="A21" s="26" t="str">
        <x:v>hydroquebec_datacenter_classes_2026</x:v>
      </x:c>
      <x:c r="B21" s="26" t="str">
        <x:v>Régie de l'énergie du Québec</x:v>
      </x:c>
      <x:c r="C21" s="80" t="str">
        <x:v>R-4333-2026 data-center tariff-class annex</x:v>
      </x:c>
      <x:c r="D21" s="80" t="str">
        <x:v>official-filing</x:v>
      </x:c>
      <x:c r="E21" s="104" t="n">
        <x:v>46127</x:v>
      </x:c>
      <x:c r="F21" s="80" t="str">
        <x:v>Named data-center operators were on Rates M and LG, with large operators on LG.</x:v>
      </x:c>
      <x:c r="G21" s="80" t="str">
        <x:v>One-page member table listing current tariffs for Cologix, Compass, Equinix, eStruxture, QScale and Vantage.</x:v>
      </x:c>
      <x:c r="H21" s="80" t="str">
        <x:v>verified</x:v>
      </x:c>
      <x:c r="I21" s="80" t="str">
        <x:v>Data-center tariff classes checked in the regulator filing.</x:v>
      </x:c>
      <x:c r="J21" s="104" t="n">
        <x:v>46267</x:v>
      </x:c>
      <x:c r="K21" s="80" t="str">
        <x:v>pending</x:v>
      </x:c>
      <x:c r="L21" s="80" t="str">
        <x:v>https://www.regie-energie.qc.ca/fr/participants/dossiers/R-4333-2026/doc/R-4333-2026-C-Coalition-0009-DemInterv-Annexe-2026_04_15.pdf</x:v>
      </x:c>
      <x:c r="M21" s="80" t="str">
        <x:v>Yes</x:v>
      </x:c>
    </x:row>
    <x:row r="22">
      <x:c r="A22" s="26" t="str">
        <x:v>eia_industrial_prices_2025</x:v>
      </x:c>
      <x:c r="B22" s="26" t="str">
        <x:v>U.S. Energy Information Administration</x:v>
      </x:c>
      <x:c r="C22" s="80" t="str">
        <x:v>Electric Power Monthly, February 2026</x:v>
      </x:c>
      <x:c r="D22" s="80" t="str">
        <x:v>official</x:v>
      </x:c>
      <x:c r="E22" s="104" t="n">
        <x:v>46054</x:v>
      </x:c>
      <x:c r="F22" s="80" t="str">
        <x:v>Calendar-2025 industrial averages: Texas 6.55 cents/kWh; Virginia 9.45 cents/kWh.</x:v>
      </x:c>
      <x:c r="G22" s="80" t="str">
        <x:v>Table 5.6.B, year-to-date through December 2025.</x:v>
      </x:c>
      <x:c r="H22" s="80" t="str">
        <x:v>verified</x:v>
      </x:c>
      <x:c r="I22" s="80" t="str">
        <x:v>Both state values and the preliminary monthly-series boundary checked in Table 5.6.B.</x:v>
      </x:c>
      <x:c r="J22" s="104" t="n">
        <x:v>46267</x:v>
      </x:c>
      <x:c r="K22" s="80" t="str">
        <x:v>pending</x:v>
      </x:c>
      <x:c r="L22" s="80" t="str">
        <x:v>https://www.eia.gov/electricity/monthly/current_month/february2026.pdf</x:v>
      </x:c>
      <x:c r="M22" s="80" t="str">
        <x:v>Yes</x:v>
      </x:c>
    </x:row>
    <x:row r="23">
      <x:c r="A23" s="26" t="str">
        <x:v>federal_reserve_fx_2025</x:v>
      </x:c>
      <x:c r="B23" s="26" t="str">
        <x:v>Federal Reserve Board</x:v>
      </x:c>
      <x:c r="C23" s="80" t="str">
        <x:v>Foreign Exchange Rates — G.5A Annual, January 5, 2026</x:v>
      </x:c>
      <x:c r="D23" s="80" t="str">
        <x:v>official</x:v>
      </x:c>
      <x:c r="E23" s="104" t="n">
        <x:v>46027</x:v>
      </x:c>
      <x:c r="F23" s="80" t="str">
        <x:v>2025 annual averages: CNY 7.1875/USD and CAD 1.3973/USD.</x:v>
      </x:c>
      <x:c r="G23" s="80" t="str">
        <x:v>Annual exchange-rate table, Canada and China rows, 2025 column.</x:v>
      </x:c>
      <x:c r="H23" s="80" t="str">
        <x:v>verified</x:v>
      </x:c>
      <x:c r="I23" s="80" t="str">
        <x:v>Both annual-average rates and unit convention checked in the Federal Reserve release.</x:v>
      </x:c>
      <x:c r="J23" s="104" t="n">
        <x:v>46267</x:v>
      </x:c>
      <x:c r="K23" s="80" t="str">
        <x:v>pending</x:v>
      </x:c>
      <x:c r="L23" s="80" t="str">
        <x:v>https://www.federalreserve.gov/releases/g5a/current/</x:v>
      </x:c>
      <x:c r="M23" s="80" t="str">
        <x:v>Yes</x:v>
      </x:c>
    </x:row>
    <x:row r="24">
      <x:c r="A24" s="26" t="str">
        <x:v>nvidia_gb200_spec</x:v>
      </x:c>
      <x:c r="B24" s="26" t="str">
        <x:v>NVIDIA</x:v>
      </x:c>
      <x:c r="C24" s="80" t="str">
        <x:v>GB200 NVL72 specifications</x:v>
      </x:c>
      <x:c r="D24" s="80" t="str">
        <x:v>vendor-primary</x:v>
      </x:c>
      <x:c r="E24" s="104"/>
      <x:c r="F24" s="80" t="str">
        <x:v>360 sparse FP16/BF16 PFLOP/s; dense performance is one half, or 180 PFLOP/s.</x:v>
      </x:c>
      <x:c r="G24" s="80" t="str">
        <x:v>GB200 NVL72 Specs table and footnote 2.</x:v>
      </x:c>
      <x:c r="H24" s="80" t="str">
        <x:v>verified</x:v>
      </x:c>
      <x:c r="I24" s="80" t="str">
        <x:v>Specification and dense/sparse footnote checked on the vendor page during the research window.</x:v>
      </x:c>
      <x:c r="J24" s="104" t="n">
        <x:v>46258</x:v>
      </x:c>
      <x:c r="K24" s="80" t="str">
        <x:v>pending</x:v>
      </x:c>
      <x:c r="L24" s="80" t="str">
        <x:v>https://www.nvidia.com/en-us/data-center/gb200-nvl72/</x:v>
      </x:c>
      <x:c r="M24" s="80" t="str">
        <x:v>Yes</x:v>
      </x:c>
    </x:row>
    <x:row r="25">
      <x:c r="A25" s="26" t="str">
        <x:v>nvidia_gb200_power</x:v>
      </x:c>
      <x:c r="B25" s="26" t="str">
        <x:v>NVIDIA</x:v>
      </x:c>
      <x:c r="C25" s="80" t="str">
        <x:v>Mission Control power reservation steering FAQ</x:v>
      </x:c>
      <x:c r="D25" s="80" t="str">
        <x:v>vendor-primary</x:v>
      </x:c>
      <x:c r="E25" s="104" t="n">
        <x:v>46082</x:v>
      </x:c>
      <x:c r="F25" s="80" t="str">
        <x:v>GB200 NVL72 full-load rack power is approximately 120 kW including nodes and rack components.</x:v>
      </x:c>
      <x:c r="G25" s="80" t="str">
        <x:v>Example 1: Configuring a PD for a GB200 NVL72 rack.</x:v>
      </x:c>
      <x:c r="H25" s="80" t="str">
        <x:v>verified</x:v>
      </x:c>
      <x:c r="I25" s="80" t="str">
        <x:v>Power boundary and value checked in NVIDIA documentation.</x:v>
      </x:c>
      <x:c r="J25" s="104" t="n">
        <x:v>46267</x:v>
      </x:c>
      <x:c r="K25" s="80" t="str">
        <x:v>pending</x:v>
      </x:c>
      <x:c r="L25" s="80" t="str">
        <x:v>https://docs.nvidia.com/mission-control/docs/systems-administration-guide/2.1.0/prs/faq.html</x:v>
      </x:c>
      <x:c r="M25" s="80" t="str">
        <x:v>Yes</x:v>
      </x:c>
    </x:row>
    <x:row r="26">
      <x:c r="A26" s="26" t="str">
        <x:v>huawei_cloudmatrix_performance</x:v>
      </x:c>
      <x:c r="B26" s="26" t="str">
        <x:v>Huawei</x:v>
      </x:c>
      <x:c r="C26" s="80" t="str">
        <x:v>Groundbreaking SuperPoD Interconnect</x:v>
      </x:c>
      <x:c r="D26" s="80" t="str">
        <x:v>vendor-primary</x:v>
      </x:c>
      <x:c r="E26" s="104" t="n">
        <x:v>45901</x:v>
      </x:c>
      <x:c r="F26" s="80" t="str">
        <x:v>Atlas 900 A3 / CloudMatrix384 connects 384 Ascend 910C chips and delivers up to 300 PFLOP/s.</x:v>
      </x:c>
      <x:c r="G26" s="80" t="str">
        <x:v>Paragraph beginning 'In March 2025, Huawei officially launched'.</x:v>
      </x:c>
      <x:c r="H26" s="80" t="str">
        <x:v>verified</x:v>
      </x:c>
      <x:c r="I26" s="80" t="str">
        <x:v>Chip count and performance claim checked on Huawei's page; precision boundary is supplemented by SemiAnalysis.</x:v>
      </x:c>
      <x:c r="J26" s="104" t="n">
        <x:v>46267</x:v>
      </x:c>
      <x:c r="K26" s="80" t="str">
        <x:v>pending</x:v>
      </x:c>
      <x:c r="L26" s="80" t="str">
        <x:v>https://www.huawei.com/en/news/2025/9/hc-xu-keynote-speech</x:v>
      </x:c>
      <x:c r="M26" s="80" t="str">
        <x:v>Yes</x:v>
      </x:c>
    </x:row>
    <x:row r="27">
      <x:c r="A27" s="26" t="str">
        <x:v>semianalysis_cloudmatrix_power</x:v>
      </x:c>
      <x:c r="B27" s="26" t="str">
        <x:v>SemiAnalysis</x:v>
      </x:c>
      <x:c r="C27" s="80" t="str">
        <x:v>Huawei AI CloudMatrix 384 — China's Answer to Nvidia GB200 NVL72</x:v>
      </x:c>
      <x:c r="D27" s="80" t="str">
        <x:v>third-party-engineering-model</x:v>
      </x:c>
      <x:c r="E27" s="104" t="n">
        <x:v>45763</x:v>
      </x:c>
      <x:c r="F27" s="80" t="str">
        <x:v>CloudMatrix384 uses 4.1× GB200 NVL72 system power and 2.5× more power per dense-BF16 FLOP.</x:v>
      </x:c>
      <x:c r="G27" s="80" t="str">
        <x:v>Paragraph beginning 'The drawback here', before the paywall.</x:v>
      </x:c>
      <x:c r="H27" s="80" t="str">
        <x:v>verified</x:v>
      </x:c>
      <x:c r="I27" s="80" t="str">
        <x:v>Exact current figures checked on the source page. They remain modeled estimates, not metered measurements.</x:v>
      </x:c>
      <x:c r="J27" s="104" t="n">
        <x:v>46267</x:v>
      </x:c>
      <x:c r="K27" s="80" t="str">
        <x:v>pending</x:v>
      </x:c>
      <x:c r="L27" s="80" t="str">
        <x:v>https://newsletter.semianalysis.com/p/huawei-ai-cloudmatrix-384-chinas-answer-to-nvidia-gb200-nvl72</x:v>
      </x:c>
      <x:c r="M27" s="80" t="str">
        <x:v>Yes</x:v>
      </x:c>
    </x:row>
    <x:row r="28">
      <x:c r="A28" s="26" t="str">
        <x:v>bis_china_policy_2026</x:v>
      </x:c>
      <x:c r="B28" s="26" t="str">
        <x:v>U.S. Bureau of Industry and Security</x:v>
      </x:c>
      <x:c r="C28" s="80" t="str">
        <x:v>Department of Commerce revises license review policy for semiconductors exported to China</x:v>
      </x:c>
      <x:c r="D28" s="80" t="str">
        <x:v>official</x:v>
      </x:c>
      <x:c r="E28" s="104" t="n">
        <x:v>46023</x:v>
      </x:c>
      <x:c r="F28" s="80" t="str">
        <x:v>H200-class exports to approved China customers receive case-by-case review; this does not make GB200 generally available.</x:v>
      </x:c>
      <x:c r="G28" s="80" t="str">
        <x:v>Policy summary and stated performance thresholds.</x:v>
      </x:c>
      <x:c r="H28" s="80" t="str">
        <x:v>verified</x:v>
      </x:c>
      <x:c r="I28" s="80" t="str">
        <x:v>Scenario boundary checked against the BIS policy release; it is not treated as an installed-fleet fact.</x:v>
      </x:c>
      <x:c r="J28" s="104" t="n">
        <x:v>46258</x:v>
      </x:c>
      <x:c r="K28" s="80" t="str">
        <x:v>pending</x:v>
      </x:c>
      <x:c r="L28" s="80" t="str">
        <x:v>https://media.bis.gov/press-release/department-commerce-revises-license-review-policy-semiconductors-exported-china</x:v>
      </x:c>
      <x:c r="M28" s="80" t="str">
        <x:v>Yes</x:v>
      </x:c>
    </x:row>
    <x:row r="29">
      <x:c r="A29" s="26" t="str">
        <x:v>guian_capacity_2025</x:v>
      </x:c>
      <x:c r="B29" s="26" t="str">
        <x:v>Guiyang municipal government</x:v>
      </x:c>
      <x:c r="C29" s="80" t="str">
        <x:v>Gui'an data-center response</x:v>
      </x:c>
      <x:c r="D29" s="80" t="str">
        <x:v>official</x:v>
      </x:c>
      <x:c r="E29" s="104" t="n">
        <x:v>45811</x:v>
      </x:c>
      <x:c r="F29" s="80" t="str">
        <x:v>137,400 powered-on standard racks as of February 2025.</x:v>
      </x:c>
      <x:c r="G29" s="80" t="str">
        <x:v>Capacity paragraph in the official response.</x:v>
      </x:c>
      <x:c r="H29" s="80" t="str">
        <x:v>verified</x:v>
      </x:c>
      <x:c r="I29" s="80" t="str">
        <x:v>Exact value checked, then excluded because powered-on racks do not match commissioned design capacity.</x:v>
      </x:c>
      <x:c r="J29" s="104" t="n">
        <x:v>46267</x:v>
      </x:c>
      <x:c r="K29" s="80" t="str">
        <x:v>pending</x:v>
      </x:c>
      <x:c r="L29" s="80" t="str">
        <x:v>https://www.guiyang.gov.cn/zwgk/zwgkzdlyxxgkjyta/zwgkzdlyxxgkjytazxtawfws/zwgkzdlyxxgkjytazxtawfwsqs/202506/t20250603_87956837.html</x:v>
      </x:c>
      <x:c r="M29" s="80" t="str">
        <x:v>No</x:v>
      </x:c>
    </x:row>
    <x:row r="30">
      <x:c r="A30" s="26" t="str">
        <x:v>guian_price_target_2025</x:v>
      </x:c>
      <x:c r="B30" s="26" t="str">
        <x:v>Guizhou Provincial Energy Administration</x:v>
      </x:c>
      <x:c r="C30" s="80" t="str">
        <x:v>2025 budget and policy targets</x:v>
      </x:c>
      <x:c r="D30" s="80" t="str">
        <x:v>official</x:v>
      </x:c>
      <x:c r="E30" s="104" t="n">
        <x:v>45723</x:v>
      </x:c>
      <x:c r="F30" s="80" t="str">
        <x:v>CNY 0.35/kWh was a policy target for data centers.</x:v>
      </x:c>
      <x:c r="G30" s="80" t="str">
        <x:v>Budget target table/text.</x:v>
      </x:c>
      <x:c r="H30" s="80" t="str">
        <x:v>verified</x:v>
      </x:c>
      <x:c r="I30" s="80" t="str">
        <x:v>Target wording checked and excluded from observed-price scenarios.</x:v>
      </x:c>
      <x:c r="J30" s="104" t="n">
        <x:v>46267</x:v>
      </x:c>
      <x:c r="K30" s="80" t="str">
        <x:v>pending</x:v>
      </x:c>
      <x:c r="L30" s="80" t="str">
        <x:v>https://nyj.guizhou.gov.cn/zwgk/xxgkml/zdlyxx/czzj/202503/P020250307503578350701.pdf</x:v>
      </x:c>
      <x:c r="M30" s="80" t="str">
        <x:v>No</x:v>
      </x:c>
    </x:row>
    <x:row r="31">
      <x:c r="A31" s="26" t="str">
        <x:v>shanxi_tariff_2026_04</x:v>
      </x:c>
      <x:c r="B31" s="26" t="str">
        <x:v>Energy Data Center</x:v>
      </x:c>
      <x:c r="C31" s="80" t="str">
        <x:v>April 2026 Shanxi tariff transcription</x:v>
      </x:c>
      <x:c r="D31" s="80" t="str">
        <x:v>secondary-transcription</x:v>
      </x:c>
      <x:c r="E31" s="104" t="n">
        <x:v>46113</x:v>
      </x:c>
      <x:c r="F31" s="80" t="str">
        <x:v>Post-cutoff 110 kV tariff inputs.</x:v>
      </x:c>
      <x:c r="G31" s="80" t="str">
        <x:v>110 kV two-part row.</x:v>
      </x:c>
      <x:c r="H31" s="80" t="str">
        <x:v>verified</x:v>
      </x:c>
      <x:c r="I31" s="80" t="str">
        <x:v>Date and values checked; excluded because the effective date is after 2025-12-31.</x:v>
      </x:c>
      <x:c r="J31" s="104" t="n">
        <x:v>46267</x:v>
      </x:c>
      <x:c r="K31" s="80" t="str">
        <x:v>pending</x:v>
      </x:c>
      <x:c r="L31" s="80" t="str">
        <x:v>https://energydc.cn/policy/sx/2026-04/cbe2e026-2c0e-11f1-9e60-f679c2336431</x:v>
      </x:c>
      <x:c r="M31" s="80" t="str">
        <x:v>No</x:v>
      </x:c>
    </x:row>
    <x:row r="32">
      <x:c r="A32" s="26" t="str">
        <x:v>shanghai_source_mismatch</x:v>
      </x:c>
      <x:c r="B32" s="26" t="str">
        <x:v>Shanghai municipal government</x:v>
      </x:c>
      <x:c r="C32" s="80" t="str">
        <x:v>Linked document for claimed June 2025 tariff</x:v>
      </x:c>
      <x:c r="D32" s="80" t="str">
        <x:v>official</x:v>
      </x:c>
      <x:c r="E32" s="104" t="n">
        <x:v>46022</x:v>
      </x:c>
      <x:c r="F32" s="80" t="str">
        <x:v>The document was claimed to support a CNY 0.7484/kWh tariff proxy.</x:v>
      </x:c>
      <x:c r="G32" s="80" t="str">
        <x:v>No supporting row found.</x:v>
      </x:c>
      <x:c r="H32" s="80" t="str">
        <x:v>not_verified</x:v>
      </x:c>
      <x:c r="I32" s="80" t="str">
        <x:v>Source checked and found not to establish the claimed input; record excluded.</x:v>
      </x:c>
      <x:c r="J32" s="104" t="n">
        <x:v>46267</x:v>
      </x:c>
      <x:c r="K32" s="80" t="str">
        <x:v>pending</x:v>
      </x:c>
      <x:c r="L32" s="80" t="str">
        <x:v>https://www.shanghai.gov.cn/cmsres/8d/8dbc9d8c392e43b791295f493f1d247e/5b1658885ab19ab927050e05dfbb83f9.pdf</x:v>
      </x:c>
      <x:c r="M32" s="80" t="str">
        <x:v>No</x:v>
      </x:c>
    </x:row>
    <x:row r="33">
      <x:c r="A33" s="26" t="str">
        <x:v>saudi_capacity_2025</x:v>
      </x:c>
      <x:c r="B33" s="26" t="str">
        <x:v>Saudi Press Agency</x:v>
      </x:c>
      <x:c r="C33" s="80" t="str">
        <x:v>Saudi operational data-center capacity</x:v>
      </x:c>
      <x:c r="D33" s="80" t="str">
        <x:v>official</x:v>
      </x:c>
      <x:c r="E33" s="104" t="n">
        <x:v>46022</x:v>
      </x:c>
      <x:c r="F33" s="80" t="str">
        <x:v>440 MW operational data-center capacity in 2025.</x:v>
      </x:c>
      <x:c r="G33" s="80" t="str">
        <x:v>Capacity statement in the article.</x:v>
      </x:c>
      <x:c r="H33" s="80" t="str">
        <x:v>partial</x:v>
      </x:c>
      <x:c r="I33" s="80" t="str">
        <x:v>Value checked; IT-versus-facility power boundary is not established, so it is excluded.</x:v>
      </x:c>
      <x:c r="J33" s="104" t="n">
        <x:v>46267</x:v>
      </x:c>
      <x:c r="K33" s="80" t="str">
        <x:v>pending</x:v>
      </x:c>
      <x:c r="L33" s="80" t="str">
        <x:v>https://www.spa.gov.sa/ar/w2575816</x:v>
      </x:c>
      <x:c r="M33" s="80" t="str">
        <x:v>No</x:v>
      </x:c>
    </x:row>
    <x:row r="34">
      <x:c r="A34" s="31" t="str">
        <x:v>saudi_tariff</x:v>
      </x:c>
      <x:c r="B34" s="31" t="str">
        <x:v>Saudi Electricity Regulatory Authority</x:v>
      </x:c>
      <x:c r="C34" s="81" t="str">
        <x:v>Cloud-computing electricity tariff</x:v>
      </x:c>
      <x:c r="D34" s="81" t="str">
        <x:v>official</x:v>
      </x:c>
      <x:c r="E34" s="105"/>
      <x:c r="F34" s="81" t="str">
        <x:v>Regulated cloud-computing tariff equivalent to USD 0.048/kWh.</x:v>
      </x:c>
      <x:c r="G34" s="81" t="str">
        <x:v>Cloud-computing tariff category.</x:v>
      </x:c>
      <x:c r="H34" s="81" t="str">
        <x:v>partial</x:v>
      </x:c>
      <x:c r="I34" s="81" t="str">
        <x:v>Value checked; no effective date was stated, so it is excluded.</x:v>
      </x:c>
      <x:c r="J34" s="105" t="n">
        <x:v>46267</x:v>
      </x:c>
      <x:c r="K34" s="81" t="str">
        <x:v>pending</x:v>
      </x:c>
      <x:c r="L34" s="81" t="str">
        <x:v>https://sera.gov.sa/en/consumer/electric-tariff/electric-tariff-categories/consumption-tariff</x:v>
      </x:c>
      <x:c r="M34" s="81" t="str">
        <x:v>No</x:v>
      </x:c>
    </x:row>
  </x:sheetData>
  <x:mergeCells>
    <x:mergeCell ref="A1:M1"/>
    <x:mergeCell ref="A2:M2"/>
  </x:mergeCells>
  <x:conditionalFormatting sqref="H5:H34">
    <x:cfRule type="containsText" dxfId="4" priority="1" operator="containsText" text="verified"/>
    <x:cfRule type="containsText" dxfId="5" priority="2" operator="containsText" text="partial"/>
    <x:cfRule type="containsText" dxfId="6" priority="3" operator="containsText" text="not_verified"/>
  </x:conditionalFormatting>
  <x:conditionalFormatting sqref="M5:M34">
    <x:cfRule type="containsText" dxfId="7" priority="4" operator="containsText" text="Yes"/>
  </x:conditionalFormatting>
  <x:pageMargins left="0.7" right="0.7" top="0.75" bottom="0.75" header="0.3" footer="0.3"/>
</x:worksheet>
</file>