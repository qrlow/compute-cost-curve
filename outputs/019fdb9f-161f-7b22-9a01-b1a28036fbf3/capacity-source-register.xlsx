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52de66c58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toff Policy" sheetId="1" r:id="R90413bd159994373"/>
    <x:sheet xmlns:r="http://schemas.openxmlformats.org/officeDocument/2006/relationships" name="Curve Inputs" sheetId="2" r:id="Rafda19bf871546af"/>
    <x:sheet xmlns:r="http://schemas.openxmlformats.org/officeDocument/2006/relationships" name="Source Register" sheetId="3" r:id="Ra984427b0ea8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"/>
    <x:numFmt numFmtId="202" formatCode="0.0000000"/>
    <x:numFmt numFmtId="203" formatCode="0.########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5F8FB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91aefd9f74e2c" /><Relationship Type="http://schemas.openxmlformats.org/officeDocument/2006/relationships/theme" Target="/xl/theme/theme1.xml" Id="R260c564f3cc54c41" /><Relationship Type="http://schemas.openxmlformats.org/officeDocument/2006/relationships/sharedStrings" Target="/xl/sharedStrings.xml" Id="Rca78056229824c40" /><Relationship Type="http://schemas.openxmlformats.org/officeDocument/2006/relationships/worksheet" Target="/xl/worksheets/sheet1.xml" Id="R90413bd159994373" /><Relationship Type="http://schemas.openxmlformats.org/officeDocument/2006/relationships/worksheet" Target="/xl/worksheets/sheet2.xml" Id="Rafda19bf871546af" /><Relationship Type="http://schemas.openxmlformats.org/officeDocument/2006/relationships/worksheet" Target="/xl/worksheets/sheet3.xml" Id="Ra984427b0ea847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64" hidden="0" customWidth="1"/>
    <x:col min="3" max="3" width="3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Compute cost curve — dated evidence register</x:v>
      </x:c>
    </x:row>
    <x:row r="2" ht="34" customHeight="1">
      <x:c r="A2" s="7" t="str">
        <x:v>Two cutoffs keep the analysis honest: when the figure describes, and when the evidence became public.</x:v>
      </x:c>
    </x:row>
    <x:row r="4" ht="42" customHeight="1">
      <x:c r="A4" s="8" t="str">
        <x:v>Observation / effective-date cutoff</x:v>
      </x:c>
      <x:c r="B4" s="9" t="n">
        <x:v>46022</x:v>
      </x:c>
      <x:c r="D4" s="12" t="str">
        <x:v>Current curve audit</x:v>
      </x:c>
      <x:c r="E4" s="12" t="str">
        <x:v>Count</x:v>
      </x:c>
    </x:row>
    <x:row r="5">
      <x:c r="A5" s="8" t="str">
        <x:v>Research publication cutoff</x:v>
      </x:c>
      <x:c r="B5" s="9" t="n">
        <x:v>46258</x:v>
      </x:c>
      <x:c r="D5" t="str">
        <x:v>Bars in current chart</x:v>
      </x:c>
      <x:c r="E5" t="n">
        <x:f>COUNTA('Curve Inputs'!A5:A20)</x:f>
        <x:v>16</x:v>
      </x:c>
    </x:row>
    <x:row r="6">
      <x:c r="D6" t="str">
        <x:v>Observation-aligned</x:v>
      </x:c>
      <x:c r="E6" t="n">
        <x:f>COUNTIF('Curve Inputs'!O5:O20,"Aligned")</x:f>
        <x:v>14</x:v>
      </x:c>
    </x:row>
    <x:row r="7" ht="42" customHeight="1">
      <x:c r="A7" s="12" t="str">
        <x:v>Rule</x:v>
      </x:c>
      <x:c r="B7" s="12" t="str">
        <x:v>Treatment</x:v>
      </x:c>
      <x:c r="D7" t="str">
        <x:v>Later than cutoff</x:v>
      </x:c>
      <x:c r="E7" t="n">
        <x:f>COUNTIF('Curve Inputs'!O5:O20,"Later than cutoff")</x:f>
        <x:v>1</x:v>
      </x:c>
    </x:row>
    <x:row r="8">
      <x:c r="A8" s="14" t="str">
        <x:v>Observation cutoff</x:v>
      </x:c>
      <x:c r="B8" s="14" t="str">
        <x:v>The figure must describe a date or period ending on or before 2025-12-31.</x:v>
      </x:c>
      <x:c r="D8" t="str">
        <x:v>Unknown observation date</x:v>
      </x:c>
      <x:c r="E8" t="n">
        <x:f>COUNTIF('Curve Inputs'!O5:O20,"Unknown")</x:f>
        <x:v>1</x:v>
      </x:c>
    </x:row>
    <x:row r="9">
      <x:c r="A9" s="14" t="str">
        <x:v>Publication cutoff</x:v>
      </x:c>
      <x:c r="B9" s="14" t="str">
        <x:v>The source must have been public by 2026-08-24. Later publication of retrospective 2025 data is allowed.</x:v>
      </x:c>
      <x:c r="D9" t="str">
        <x:v>Baseline-ready figures</x:v>
      </x:c>
      <x:c r="E9" t="n">
        <x:f>COUNTIF('Source Register'!R5:R45,"Pass")</x:f>
        <x:v>24</x:v>
      </x:c>
    </x:row>
    <x:row r="10">
      <x:c r="A10" s="14" t="str">
        <x:v>Partial dates</x:v>
      </x:c>
      <x:c r="B10" s="14" t="str">
        <x:v>Month, half-year, and year observations are normalized to period end and labelled with their precision.</x:v>
      </x:c>
      <x:c r="D10" t="str">
        <x:v>Blank publication dates</x:v>
      </x:c>
      <x:c r="E10" t="n">
        <x:f>COUNTBLANK('Source Register'!J5:J45)</x:f>
        <x:v>16</x:v>
      </x:c>
    </x:row>
    <x:row r="11">
      <x:c r="A11" s="14" t="str">
        <x:v>Targets / plans</x:v>
      </x:c>
      <x:c r="B11" s="14" t="str">
        <x:v>Kept in the register but not treated as observed capacity or realised price.</x:v>
      </x:c>
    </x:row>
    <x:row r="12">
      <x:c r="A12" s="14" t="str">
        <x:v>Unknown publication dates</x:v>
      </x:c>
      <x:c r="B12" s="14" t="str">
        <x:v>Recorded as unknown. They do not silently pass the publication test.</x:v>
      </x:c>
      <x:c r="D12" s="10" t="str">
        <x:v>Interpretation</x:v>
      </x:c>
      <x:c r="E12" s="10"/>
      <x:c r="F12" s="10"/>
      <x:c r="G12" s="10"/>
      <x:c r="H12" s="10"/>
    </x:row>
    <x:row r="13">
      <x:c r="D13" s="16" t="str">
        <x:v>Aligned</x:v>
      </x:c>
      <x:c r="E13" s="14" t="str">
        <x:v>Both the capacity observation and electricity-price effective date are no later than the observation cutoff.</x:v>
      </x:c>
      <x:c r="F13" s="14"/>
      <x:c r="G13" s="14"/>
      <x:c r="H13" s="14"/>
    </x:row>
    <x:row r="14">
      <x:c r="D14" s="16" t="str">
        <x:v>Later than cutoff</x:v>
      </x:c>
      <x:c r="E14" s="14" t="str">
        <x:v>At least one current input describes a date after the observation cutoff.</x:v>
      </x:c>
      <x:c r="F14" s="14"/>
      <x:c r="G14" s="14"/>
      <x:c r="H14" s="14"/>
    </x:row>
    <x:row r="15">
      <x:c r="D15" s="16" t="str">
        <x:v>Unknown</x:v>
      </x:c>
      <x:c r="E15" s="14" t="str">
        <x:v>At least one observation/effective date is missing, so alignment cannot be established.</x:v>
      </x:c>
      <x:c r="F15" s="14"/>
      <x:c r="G15" s="14"/>
      <x:c r="H15" s="14"/>
    </x:row>
    <x:row r="16">
      <x:c r="D16" s="16" t="str">
        <x:v>Publication flag</x:v>
      </x:c>
      <x:c r="E16" s="14" t="str">
        <x:v>A separate flag shows whether the evidence was public by the research cutoff.</x:v>
      </x:c>
      <x:c r="F16" s="14"/>
      <x:c r="G16" s="14"/>
      <x:c r="H16" s="14"/>
    </x:row>
  </x:sheetData>
  <x:mergeCells>
    <x:mergeCell ref="A1:H1"/>
    <x:mergeCell ref="A2:H2"/>
    <x:mergeCell ref="D12:H12"/>
    <x:mergeCell ref="E13:H13"/>
    <x:mergeCell ref="E14:H14"/>
    <x:mergeCell ref="E15:H15"/>
    <x:mergeCell ref="E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30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8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42" hidden="0" customWidth="1"/>
    <x:col min="17" max="17" width="72" hidden="0" customWidth="1"/>
  </x:cols>
  <x:sheetData>
    <x:row r="1" ht="30" customHeight="1">
      <x:c r="A1" s="3" t="str">
        <x:v>Current chart inputs</x:v>
      </x:c>
    </x:row>
    <x:row r="2" ht="34" customHeight="1">
      <x:c r="A2" s="7" t="str">
        <x:v>This is the exact width-and-height dataset currently used by the published chart, audited against the two cutoffs.</x:v>
      </x:c>
    </x:row>
    <x:row r="4" ht="42" customHeight="1">
      <x:c r="A4" s="12" t="str">
        <x:v>Bar ID</x:v>
      </x:c>
      <x:c r="B4" s="12" t="str">
        <x:v>Country</x:v>
      </x:c>
      <x:c r="C4" s="12" t="str">
        <x:v>Location</x:v>
      </x:c>
      <x:c r="D4" s="12" t="str">
        <x:v>Capacity (MW)</x:v>
      </x:c>
      <x:c r="E4" s="12" t="str">
        <x:v>Capacity as of</x:v>
      </x:c>
      <x:c r="F4" s="12" t="str">
        <x:v>Capacity published</x:v>
      </x:c>
      <x:c r="G4" s="12" t="str">
        <x:v>Capacity ≤ cutoff?</x:v>
      </x:c>
      <x:c r="H4" s="12" t="str">
        <x:v>Electricity (USD/kWh)</x:v>
      </x:c>
      <x:c r="I4" s="12" t="str">
        <x:v>Price effective</x:v>
      </x:c>
      <x:c r="J4" s="12" t="str">
        <x:v>Price published</x:v>
      </x:c>
      <x:c r="K4" s="12" t="str">
        <x:v>Price ≤ cutoff?</x:v>
      </x:c>
      <x:c r="L4" s="12" t="str">
        <x:v>Capacity source known?</x:v>
      </x:c>
      <x:c r="M4" s="12" t="str">
        <x:v>Price source known?</x:v>
      </x:c>
      <x:c r="N4" s="12" t="str">
        <x:v>Publication status</x:v>
      </x:c>
      <x:c r="O4" s="12" t="str">
        <x:v>Observation status</x:v>
      </x:c>
      <x:c r="P4" s="12" t="str">
        <x:v>Capacity source</x:v>
      </x:c>
      <x:c r="Q4" s="12" t="str">
        <x:v>Price source / notes</x:v>
      </x:c>
    </x:row>
    <x:row r="5">
      <x:c r="A5" s="14" t="str">
        <x:v>CN-01</x:v>
      </x:c>
      <x:c r="B5" s="14" t="str">
        <x:v>China</x:v>
      </x:c>
      <x:c r="C5" s="14" t="str">
        <x:v>Hohhot / Helinger documented subset</x:v>
      </x:c>
      <x:c r="D5" s="22" t="n">
        <x:v>269.4</x:v>
      </x:c>
      <x:c r="E5" s="23" t="n">
        <x:v>45291</x:v>
      </x:c>
      <x:c r="F5" s="23" t="n">
        <x:v>45719</x:v>
      </x:c>
      <x:c r="G5" s="14" t="str">
        <x:f>IF(E5="","Unknown",IF(E5&lt;='Cutoff Policy'!$B$4,"Yes","No"))</x:f>
        <x:v>Yes</x:v>
      </x:c>
      <x:c r="H5" s="24" t="n">
        <x:v>0.0486957</x:v>
      </x:c>
      <x:c r="I5" s="23" t="n">
        <x:v>45856</x:v>
      </x:c>
      <x:c r="J5" s="23" t="n">
        <x:v>45856</x:v>
      </x:c>
      <x:c r="K5" s="14" t="str">
        <x:f>IF(I5="","Unknown",IF(I5&lt;='Cutoff Policy'!$B$4,"Yes","No"))</x:f>
        <x:v>Yes</x:v>
      </x:c>
      <x:c r="L5" s="14" t="str">
        <x:f>IF(F5="","Unknown",IF(F5&lt;='Cutoff Policy'!$B$5,"Yes","No"))</x:f>
        <x:v>Yes</x:v>
      </x:c>
      <x:c r="M5" s="14" t="str">
        <x:f>IF(J5="","Unknown",IF(J5&lt;='Cutoff Policy'!$B$5,"Yes","No"))</x:f>
        <x:v>Yes</x:v>
      </x:c>
      <x:c r="N5" s="14" t="str">
        <x:f>IF(OR(L5="Unknown",M5="Unknown"),"Incomplete date record",IF(AND(L5="Yes",M5="Yes"),"Pass","After research cutoff"))</x:f>
        <x:v>Pass</x:v>
      </x:c>
      <x:c r="O5" s="14" t="str">
        <x:f>IF(OR(G5="Unknown",K5="Unknown"),"Unknown",IF(AND(G5="Yes",K5="Yes"),"Aligned","Later than cutoff"))</x:f>
        <x:v>Aligned</x:v>
      </x:c>
      <x:c r="P5" s="14" t="str">
        <x:v>https://pdf.dfcfw.com/pdf/H3_AP202503031643671670_1.pdf</x:v>
      </x:c>
      <x:c r="Q5" s="14" t="str">
        <x:v>https://www.nea.gov.cn/20250718/410e42d872e4417687cb5b0ab357d088/c.html — Documented 11-centre subset; capacity derived as 326 MW facility power / PUE 1.21.</x:v>
      </x:c>
    </x:row>
    <x:row r="6">
      <x:c r="A6" s="14" t="str">
        <x:v>CN-02</x:v>
      </x:c>
      <x:c r="B6" s="14" t="str">
        <x:v>China</x:v>
      </x:c>
      <x:c r="C6" s="14" t="str">
        <x:v>Gui'an powered-on racks</x:v>
      </x:c>
      <x:c r="D6" s="22" t="n">
        <x:v>343.5</x:v>
      </x:c>
      <x:c r="E6" s="23" t="n">
        <x:v>45716</x:v>
      </x:c>
      <x:c r="F6" s="23" t="n">
        <x:v>45811</x:v>
      </x:c>
      <x:c r="G6" s="14" t="str">
        <x:f>IF(E6="","Unknown",IF(E6&lt;='Cutoff Policy'!$B$4,"Yes","No"))</x:f>
        <x:v>Yes</x:v>
      </x:c>
      <x:c r="H6" s="24" t="n">
        <x:v>0.0486957</x:v>
      </x:c>
      <x:c r="I6" s="23" t="n">
        <x:v>46022</x:v>
      </x:c>
      <x:c r="J6" s="23" t="n">
        <x:v>45723</x:v>
      </x:c>
      <x:c r="K6" s="14" t="str">
        <x:f>IF(I6="","Unknown",IF(I6&lt;='Cutoff Policy'!$B$4,"Yes","No"))</x:f>
        <x:v>Yes</x:v>
      </x:c>
      <x:c r="L6" s="14" t="str">
        <x:f>IF(F6="","Unknown",IF(F6&lt;='Cutoff Policy'!$B$5,"Yes","No"))</x:f>
        <x:v>Yes</x:v>
      </x:c>
      <x:c r="M6" s="14" t="str">
        <x:f>IF(J6="","Unknown",IF(J6&lt;='Cutoff Policy'!$B$5,"Yes","No"))</x:f>
        <x:v>Yes</x:v>
      </x:c>
      <x:c r="N6" s="14" t="str">
        <x:f>IF(OR(L6="Unknown",M6="Unknown"),"Incomplete date record",IF(AND(L6="Yes",M6="Yes"),"Pass","After research cutoff"))</x:f>
        <x:v>Pass</x:v>
      </x:c>
      <x:c r="O6" s="14" t="str">
        <x:f>IF(OR(G6="Unknown",K6="Unknown"),"Unknown",IF(AND(G6="Yes",K6="Yes"),"Aligned","Later than cutoff"))</x:f>
        <x:v>Aligned</x:v>
      </x:c>
      <x:c r="P6" s="14" t="str">
        <x:v>https://www.guiyang.gov.cn/zwgk/zwgkzdlyxxgkjyta/zwgkzdlyxxgkjytazxtawfws/zwgkzdlyxxgkjytazxtawfwsqs/202506/t20250603_87956837.html</x:v>
      </x:c>
      <x:c r="Q6" s="14" t="str">
        <x:v>https://nyj.guizhou.gov.cn/zwgk/xxgkml/zdlyxx/czzj/202503/P020250307503578350701.pdf — Capacity derived from 137,400 powered-on standard racks at 2.5 kW; price is a 2025 policy target.</x:v>
      </x:c>
    </x:row>
    <x:row r="7">
      <x:c r="A7" s="14" t="str">
        <x:v>CN-03</x:v>
      </x:c>
      <x:c r="B7" s="14" t="str">
        <x:v>China</x:v>
      </x:c>
      <x:c r="C7" s="14" t="str">
        <x:v>Inner Mongolia residual</x:v>
      </x:c>
      <x:c r="D7" s="22" t="n">
        <x:v>1358.6</x:v>
      </x:c>
      <x:c r="E7" s="23" t="n">
        <x:v>45747</x:v>
      </x:c>
      <x:c r="F7" s="23" t="n">
        <x:v>46041</x:v>
      </x:c>
      <x:c r="G7" s="14" t="str">
        <x:f>IF(E7="","Unknown",IF(E7&lt;='Cutoff Policy'!$B$4,"Yes","No"))</x:f>
        <x:v>Yes</x:v>
      </x:c>
      <x:c r="H7" s="24" t="n">
        <x:v>0.0681739</x:v>
      </x:c>
      <x:c r="I7" s="23" t="n">
        <x:v>45838</x:v>
      </x:c>
      <x:c r="J7" s="23" t="n">
        <x:v>45807</x:v>
      </x:c>
      <x:c r="K7" s="14" t="str">
        <x:f>IF(I7="","Unknown",IF(I7&lt;='Cutoff Policy'!$B$4,"Yes","No"))</x:f>
        <x:v>Yes</x:v>
      </x:c>
      <x:c r="L7" s="14" t="str">
        <x:f>IF(F7="","Unknown",IF(F7&lt;='Cutoff Policy'!$B$5,"Yes","No"))</x:f>
        <x:v>Yes</x:v>
      </x:c>
      <x:c r="M7" s="14" t="str">
        <x:f>IF(J7="","Unknown",IF(J7&lt;='Cutoff Policy'!$B$5,"Yes","No"))</x:f>
        <x:v>Yes</x:v>
      </x:c>
      <x:c r="N7" s="14" t="str">
        <x:f>IF(OR(L7="Unknown",M7="Unknown"),"Incomplete date record",IF(AND(L7="Yes",M7="Yes"),"Pass","After research cutoff"))</x:f>
        <x:v>Pass</x:v>
      </x:c>
      <x:c r="O7" s="14" t="str">
        <x:f>IF(OR(G7="Unknown",K7="Unknown"),"Unknown",IF(AND(G7="Yes",K7="Yes"),"Aligned","Later than cutoff"))</x:f>
        <x:v>Aligned</x:v>
      </x:c>
      <x:c r="P7" s="14" t="str">
        <x:v>https://13115299.s21i.faiusr.com/61/1/ABUIABA9GAAg4pOYywYogpflxgc.pdf</x:v>
      </x:c>
      <x:c r="Q7" s="14" t="str">
        <x:v>https://www.xlgl.gov.cn/xlgl/zw/zwgk/tzgg/2025090509233740836/index.html — Provincial treemap estimate less the Hohhot subset; price is a tariff proxy at 90% load factor.</x:v>
      </x:c>
    </x:row>
    <x:row r="8">
      <x:c r="A8" s="14" t="str">
        <x:v>CN-04</x:v>
      </x:c>
      <x:c r="B8" s="14" t="str">
        <x:v>China</x:v>
      </x:c>
      <x:c r="C8" s="14" t="str">
        <x:v>Shanxi</x:v>
      </x:c>
      <x:c r="D8" s="22" t="n">
        <x:v>1298</x:v>
      </x:c>
      <x:c r="E8" s="23" t="n">
        <x:v>45747</x:v>
      </x:c>
      <x:c r="F8" s="23" t="n">
        <x:v>46041</x:v>
      </x:c>
      <x:c r="G8" s="14" t="str">
        <x:f>IF(E8="","Unknown",IF(E8&lt;='Cutoff Policy'!$B$4,"Yes","No"))</x:f>
        <x:v>Yes</x:v>
      </x:c>
      <x:c r="H8" s="24" t="n">
        <x:v>0.0812035</x:v>
      </x:c>
      <x:c r="I8" s="23" t="n">
        <x:v>46142</x:v>
      </x:c>
      <x:c r="J8" s="23"/>
      <x:c r="K8" s="14" t="str">
        <x:f>IF(I8="","Unknown",IF(I8&lt;='Cutoff Policy'!$B$4,"Yes","No"))</x:f>
        <x:v>No</x:v>
      </x:c>
      <x:c r="L8" s="14" t="str">
        <x:f>IF(F8="","Unknown",IF(F8&lt;='Cutoff Policy'!$B$5,"Yes","No"))</x:f>
        <x:v>Yes</x:v>
      </x:c>
      <x:c r="M8" s="14" t="str">
        <x:f>IF(J8="","Unknown",IF(J8&lt;='Cutoff Policy'!$B$5,"Yes","No"))</x:f>
        <x:v>Unknown</x:v>
      </x:c>
      <x:c r="N8" s="14" t="str">
        <x:f>IF(OR(L8="Unknown",M8="Unknown"),"Incomplete date record",IF(AND(L8="Yes",M8="Yes"),"Pass","After research cutoff"))</x:f>
        <x:v>Incomplete date record</x:v>
      </x:c>
      <x:c r="O8" s="14" t="str">
        <x:f>IF(OR(G8="Unknown",K8="Unknown"),"Unknown",IF(AND(G8="Yes",K8="Yes"),"Aligned","Later than cutoff"))</x:f>
        <x:v>Later than cutoff</x:v>
      </x:c>
      <x:c r="P8" s="14" t="str">
        <x:v>https://13115299.s21i.faiusr.com/61/1/ABUIABA9GAAg4pOYywYogpflxgc.pdf</x:v>
      </x:c>
      <x:c r="Q8" s="14" t="str">
        <x:v>https://energydc.cn/policy/sx/2026-04/cbe2e026-2c0e-11f1-9e60-f679c2336431 — Capacity is a treemap estimate. Price uses an April 2026 secondary tariff page; exact publication day not recorded.</x:v>
      </x:c>
    </x:row>
    <x:row r="9">
      <x:c r="A9" s="14" t="str">
        <x:v>CN-05</x:v>
      </x:c>
      <x:c r="B9" s="14" t="str">
        <x:v>China</x:v>
      </x:c>
      <x:c r="C9" s="14" t="str">
        <x:v>Zhejiang</x:v>
      </x:c>
      <x:c r="D9" s="22" t="n">
        <x:v>1336</x:v>
      </x:c>
      <x:c r="E9" s="23" t="n">
        <x:v>45747</x:v>
      </x:c>
      <x:c r="F9" s="23" t="n">
        <x:v>46041</x:v>
      </x:c>
      <x:c r="G9" s="14" t="str">
        <x:f>IF(E9="","Unknown",IF(E9&lt;='Cutoff Policy'!$B$4,"Yes","No"))</x:f>
        <x:v>Yes</x:v>
      </x:c>
      <x:c r="H9" s="24" t="n">
        <x:v>0.0877245</x:v>
      </x:c>
      <x:c r="I9" s="23" t="n">
        <x:v>45838</x:v>
      </x:c>
      <x:c r="J9" s="23"/>
      <x:c r="K9" s="14" t="str">
        <x:f>IF(I9="","Unknown",IF(I9&lt;='Cutoff Policy'!$B$4,"Yes","No"))</x:f>
        <x:v>Yes</x:v>
      </x:c>
      <x:c r="L9" s="14" t="str">
        <x:f>IF(F9="","Unknown",IF(F9&lt;='Cutoff Policy'!$B$5,"Yes","No"))</x:f>
        <x:v>Yes</x:v>
      </x:c>
      <x:c r="M9" s="14" t="str">
        <x:f>IF(J9="","Unknown",IF(J9&lt;='Cutoff Policy'!$B$5,"Yes","No"))</x:f>
        <x:v>Unknown</x:v>
      </x:c>
      <x:c r="N9" s="14" t="str">
        <x:f>IF(OR(L9="Unknown",M9="Unknown"),"Incomplete date record",IF(AND(L9="Yes",M9="Yes"),"Pass","After research cutoff"))</x:f>
        <x:v>Incomplete date record</x:v>
      </x:c>
      <x:c r="O9" s="14" t="str">
        <x:f>IF(OR(G9="Unknown",K9="Unknown"),"Unknown",IF(AND(G9="Yes",K9="Yes"),"Aligned","Later than cutoff"))</x:f>
        <x:v>Aligned</x:v>
      </x:c>
      <x:c r="P9" s="14" t="str">
        <x:v>https://13115299.s21i.faiusr.com/61/1/ABUIABA9GAAg4pOYywYogpflxgc.pdf</x:v>
      </x:c>
      <x:c r="Q9" s="14" t="str">
        <x:v>https://zjjcmspublic.oss-cn-hangzhou-zwynet-d01-a.internet.cloud.zj.gov.cn/jcms_files/jcms1/web2241/site/attach/0/d94d1693bc7042f0a4349368bbb18419.pdf — Capacity is a treemap estimate. June 2025 tariff attachment has no recorded webpage publication date.</x:v>
      </x:c>
    </x:row>
    <x:row r="10">
      <x:c r="A10" s="14" t="str">
        <x:v>CN-06</x:v>
      </x:c>
      <x:c r="B10" s="14" t="str">
        <x:v>China</x:v>
      </x:c>
      <x:c r="C10" s="14" t="str">
        <x:v>Guizhou residual</x:v>
      </x:c>
      <x:c r="D10" s="22" t="n">
        <x:v>1307.5</x:v>
      </x:c>
      <x:c r="E10" s="23" t="n">
        <x:v>45747</x:v>
      </x:c>
      <x:c r="F10" s="23" t="n">
        <x:v>46041</x:v>
      </x:c>
      <x:c r="G10" s="14" t="str">
        <x:f>IF(E10="","Unknown",IF(E10&lt;='Cutoff Policy'!$B$4,"Yes","No"))</x:f>
        <x:v>Yes</x:v>
      </x:c>
      <x:c r="H10" s="24" t="n">
        <x:v>0.0877816</x:v>
      </x:c>
      <x:c r="I10" s="23" t="n">
        <x:v>45838</x:v>
      </x:c>
      <x:c r="J10" s="23" t="n">
        <x:v>45807</x:v>
      </x:c>
      <x:c r="K10" s="14" t="str">
        <x:f>IF(I10="","Unknown",IF(I10&lt;='Cutoff Policy'!$B$4,"Yes","No"))</x:f>
        <x:v>Yes</x:v>
      </x:c>
      <x:c r="L10" s="14" t="str">
        <x:f>IF(F10="","Unknown",IF(F10&lt;='Cutoff Policy'!$B$5,"Yes","No"))</x:f>
        <x:v>Yes</x:v>
      </x:c>
      <x:c r="M10" s="14" t="str">
        <x:f>IF(J10="","Unknown",IF(J10&lt;='Cutoff Policy'!$B$5,"Yes","No"))</x:f>
        <x:v>Yes</x:v>
      </x:c>
      <x:c r="N10" s="14" t="str">
        <x:f>IF(OR(L10="Unknown",M10="Unknown"),"Incomplete date record",IF(AND(L10="Yes",M10="Yes"),"Pass","After research cutoff"))</x:f>
        <x:v>Pass</x:v>
      </x:c>
      <x:c r="O10" s="14" t="str">
        <x:f>IF(OR(G10="Unknown",K10="Unknown"),"Unknown",IF(AND(G10="Yes",K10="Yes"),"Aligned","Later than cutoff"))</x:f>
        <x:v>Aligned</x:v>
      </x:c>
      <x:c r="P10" s="14" t="str">
        <x:v>https://13115299.s21i.faiusr.com/61/1/ABUIABA9GAAg4pOYywYogpflxgc.pdf</x:v>
      </x:c>
      <x:c r="Q10" s="14" t="str">
        <x:v>https://www.lp.gov.cn/newsite/xwdt/gsgg_5768869/202505/P020250530625753057568.pdf — Provincial treemap estimate less Gui'an; price is a tariff proxy at 90% load factor.</x:v>
      </x:c>
    </x:row>
    <x:row r="11">
      <x:c r="A11" s="14" t="str">
        <x:v>CN-07</x:v>
      </x:c>
      <x:c r="B11" s="14" t="str">
        <x:v>China</x:v>
      </x:c>
      <x:c r="C11" s="14" t="str">
        <x:v>Hebei</x:v>
      </x:c>
      <x:c r="D11" s="22" t="n">
        <x:v>3904</x:v>
      </x:c>
      <x:c r="E11" s="23" t="n">
        <x:v>45747</x:v>
      </x:c>
      <x:c r="F11" s="23" t="n">
        <x:v>46041</x:v>
      </x:c>
      <x:c r="G11" s="14" t="str">
        <x:f>IF(E11="","Unknown",IF(E11&lt;='Cutoff Policy'!$B$4,"Yes","No"))</x:f>
        <x:v>Yes</x:v>
      </x:c>
      <x:c r="H11" s="24" t="n">
        <x:v>0.0882963</x:v>
      </x:c>
      <x:c r="I11" s="23" t="n">
        <x:v>45777</x:v>
      </x:c>
      <x:c r="J11" s="23"/>
      <x:c r="K11" s="14" t="str">
        <x:f>IF(I11="","Unknown",IF(I11&lt;='Cutoff Policy'!$B$4,"Yes","No"))</x:f>
        <x:v>Yes</x:v>
      </x:c>
      <x:c r="L11" s="14" t="str">
        <x:f>IF(F11="","Unknown",IF(F11&lt;='Cutoff Policy'!$B$5,"Yes","No"))</x:f>
        <x:v>Yes</x:v>
      </x:c>
      <x:c r="M11" s="14" t="str">
        <x:f>IF(J11="","Unknown",IF(J11&lt;='Cutoff Policy'!$B$5,"Yes","No"))</x:f>
        <x:v>Unknown</x:v>
      </x:c>
      <x:c r="N11" s="14" t="str">
        <x:f>IF(OR(L11="Unknown",M11="Unknown"),"Incomplete date record",IF(AND(L11="Yes",M11="Yes"),"Pass","After research cutoff"))</x:f>
        <x:v>Incomplete date record</x:v>
      </x:c>
      <x:c r="O11" s="14" t="str">
        <x:f>IF(OR(G11="Unknown",K11="Unknown"),"Unknown",IF(AND(G11="Yes",K11="Yes"),"Aligned","Later than cutoff"))</x:f>
        <x:v>Aligned</x:v>
      </x:c>
      <x:c r="P11" s="14" t="str">
        <x:v>https://13115299.s21i.faiusr.com/61/1/ABUIABA9GAAg4pOYywYogpflxgc.pdf</x:v>
      </x:c>
      <x:c r="Q11" s="14" t="str">
        <x:v>https://ele.aiit.org.cn/static/elefile/99303281758074622710101893155890.pdf — Capacity is a treemap estimate; Jibei tariff proxy used for the province. Publication day for tariff PDF is unrecorded.</x:v>
      </x:c>
    </x:row>
    <x:row r="12">
      <x:c r="A12" s="14" t="str">
        <x:v>CN-08</x:v>
      </x:c>
      <x:c r="B12" s="14" t="str">
        <x:v>China</x:v>
      </x:c>
      <x:c r="C12" s="14" t="str">
        <x:v>Jiangsu</x:v>
      </x:c>
      <x:c r="D12" s="22" t="n">
        <x:v>1908</x:v>
      </x:c>
      <x:c r="E12" s="23" t="n">
        <x:v>45747</x:v>
      </x:c>
      <x:c r="F12" s="23" t="n">
        <x:v>46041</x:v>
      </x:c>
      <x:c r="G12" s="14" t="str">
        <x:f>IF(E12="","Unknown",IF(E12&lt;='Cutoff Policy'!$B$4,"Yes","No"))</x:f>
        <x:v>Yes</x:v>
      </x:c>
      <x:c r="H12" s="24" t="n">
        <x:v>0.0929517</x:v>
      </x:c>
      <x:c r="I12" s="23" t="n">
        <x:v>45838</x:v>
      </x:c>
      <x:c r="J12" s="23" t="n">
        <x:v>45832</x:v>
      </x:c>
      <x:c r="K12" s="14" t="str">
        <x:f>IF(I12="","Unknown",IF(I12&lt;='Cutoff Policy'!$B$4,"Yes","No"))</x:f>
        <x:v>Yes</x:v>
      </x:c>
      <x:c r="L12" s="14" t="str">
        <x:f>IF(F12="","Unknown",IF(F12&lt;='Cutoff Policy'!$B$5,"Yes","No"))</x:f>
        <x:v>Yes</x:v>
      </x:c>
      <x:c r="M12" s="14" t="str">
        <x:f>IF(J12="","Unknown",IF(J12&lt;='Cutoff Policy'!$B$5,"Yes","No"))</x:f>
        <x:v>Yes</x:v>
      </x:c>
      <x:c r="N12" s="14" t="str">
        <x:f>IF(OR(L12="Unknown",M12="Unknown"),"Incomplete date record",IF(AND(L12="Yes",M12="Yes"),"Pass","After research cutoff"))</x:f>
        <x:v>Pass</x:v>
      </x:c>
      <x:c r="O12" s="14" t="str">
        <x:f>IF(OR(G12="Unknown",K12="Unknown"),"Unknown",IF(AND(G12="Yes",K12="Yes"),"Aligned","Later than cutoff"))</x:f>
        <x:v>Aligned</x:v>
      </x:c>
      <x:c r="P12" s="14" t="str">
        <x:v>https://13115299.s21i.faiusr.com/61/1/ABUIABA9GAAg4pOYywYogpflxgc.pdf</x:v>
      </x:c>
      <x:c r="Q12" s="14" t="str">
        <x:v>https://www.jintan.gov.cn/html/czjt/2025/JFKEQAOD_0624/281022.html — Capacity is a treemap estimate; price is a tariff proxy at 90% load factor.</x:v>
      </x:c>
    </x:row>
    <x:row r="13">
      <x:c r="A13" s="14" t="str">
        <x:v>CN-09</x:v>
      </x:c>
      <x:c r="B13" s="14" t="str">
        <x:v>China</x:v>
      </x:c>
      <x:c r="C13" s="14" t="str">
        <x:v>Beijing</x:v>
      </x:c>
      <x:c r="D13" s="22" t="n">
        <x:v>1295</x:v>
      </x:c>
      <x:c r="E13" s="23" t="n">
        <x:v>45747</x:v>
      </x:c>
      <x:c r="F13" s="23" t="n">
        <x:v>46041</x:v>
      </x:c>
      <x:c r="G13" s="14" t="str">
        <x:f>IF(E13="","Unknown",IF(E13&lt;='Cutoff Policy'!$B$4,"Yes","No"))</x:f>
        <x:v>Yes</x:v>
      </x:c>
      <x:c r="H13" s="24" t="n">
        <x:v>0.0963854</x:v>
      </x:c>
      <x:c r="I13" s="23" t="n">
        <x:v>45777</x:v>
      </x:c>
      <x:c r="J13" s="23"/>
      <x:c r="K13" s="14" t="str">
        <x:f>IF(I13="","Unknown",IF(I13&lt;='Cutoff Policy'!$B$4,"Yes","No"))</x:f>
        <x:v>Yes</x:v>
      </x:c>
      <x:c r="L13" s="14" t="str">
        <x:f>IF(F13="","Unknown",IF(F13&lt;='Cutoff Policy'!$B$5,"Yes","No"))</x:f>
        <x:v>Yes</x:v>
      </x:c>
      <x:c r="M13" s="14" t="str">
        <x:f>IF(J13="","Unknown",IF(J13&lt;='Cutoff Policy'!$B$5,"Yes","No"))</x:f>
        <x:v>Unknown</x:v>
      </x:c>
      <x:c r="N13" s="14" t="str">
        <x:f>IF(OR(L13="Unknown",M13="Unknown"),"Incomplete date record",IF(AND(L13="Yes",M13="Yes"),"Pass","After research cutoff"))</x:f>
        <x:v>Incomplete date record</x:v>
      </x:c>
      <x:c r="O13" s="14" t="str">
        <x:f>IF(OR(G13="Unknown",K13="Unknown"),"Unknown",IF(AND(G13="Yes",K13="Yes"),"Aligned","Later than cutoff"))</x:f>
        <x:v>Aligned</x:v>
      </x:c>
      <x:c r="P13" s="14" t="str">
        <x:v>https://13115299.s21i.faiusr.com/61/1/ABUIABA9GAAg4pOYywYogpflxgc.pdf</x:v>
      </x:c>
      <x:c r="Q13" s="14" t="str">
        <x:v>https://ele.aiit.org.cn/static/elefile/99303281924019507384201247156397.pdf — Capacity is a treemap estimate. Publication day for tariff PDF is unrecorded.</x:v>
      </x:c>
    </x:row>
    <x:row r="14">
      <x:c r="A14" s="14" t="str">
        <x:v>CN-10</x:v>
      </x:c>
      <x:c r="B14" s="14" t="str">
        <x:v>China</x:v>
      </x:c>
      <x:c r="C14" s="14" t="str">
        <x:v>Guangdong</x:v>
      </x:c>
      <x:c r="D14" s="22" t="n">
        <x:v>2532</x:v>
      </x:c>
      <x:c r="E14" s="23" t="n">
        <x:v>45747</x:v>
      </x:c>
      <x:c r="F14" s="23" t="n">
        <x:v>46041</x:v>
      </x:c>
      <x:c r="G14" s="14" t="str">
        <x:f>IF(E14="","Unknown",IF(E14&lt;='Cutoff Policy'!$B$4,"Yes","No"))</x:f>
        <x:v>Yes</x:v>
      </x:c>
      <x:c r="H14" s="24" t="n">
        <x:v>0.0985294</x:v>
      </x:c>
      <x:c r="I14" s="23" t="n">
        <x:v>45777</x:v>
      </x:c>
      <x:c r="J14" s="23"/>
      <x:c r="K14" s="14" t="str">
        <x:f>IF(I14="","Unknown",IF(I14&lt;='Cutoff Policy'!$B$4,"Yes","No"))</x:f>
        <x:v>Yes</x:v>
      </x:c>
      <x:c r="L14" s="14" t="str">
        <x:f>IF(F14="","Unknown",IF(F14&lt;='Cutoff Policy'!$B$5,"Yes","No"))</x:f>
        <x:v>Yes</x:v>
      </x:c>
      <x:c r="M14" s="14" t="str">
        <x:f>IF(J14="","Unknown",IF(J14&lt;='Cutoff Policy'!$B$5,"Yes","No"))</x:f>
        <x:v>Unknown</x:v>
      </x:c>
      <x:c r="N14" s="14" t="str">
        <x:f>IF(OR(L14="Unknown",M14="Unknown"),"Incomplete date record",IF(AND(L14="Yes",M14="Yes"),"Pass","After research cutoff"))</x:f>
        <x:v>Incomplete date record</x:v>
      </x:c>
      <x:c r="O14" s="14" t="str">
        <x:f>IF(OR(G14="Unknown",K14="Unknown"),"Unknown",IF(AND(G14="Yes",K14="Yes"),"Aligned","Later than cutoff"))</x:f>
        <x:v>Aligned</x:v>
      </x:c>
      <x:c r="P14" s="14" t="str">
        <x:v>https://13115299.s21i.faiusr.com/61/1/ABUIABA9GAAg4pOYywYogpflxgc.pdf</x:v>
      </x:c>
      <x:c r="Q14" s="14" t="str">
        <x:v>https://www.gdsx.gov.cn/sgsxgdj/attachment/0/272/272080/2734391.pdf — Capacity is a treemap estimate; price is a capacity-weighted northern Guangdong / Pearl River proxy.</x:v>
      </x:c>
    </x:row>
    <x:row r="15">
      <x:c r="A15" s="14" t="str">
        <x:v>CN-11</x:v>
      </x:c>
      <x:c r="B15" s="14" t="str">
        <x:v>China</x:v>
      </x:c>
      <x:c r="C15" s="14" t="str">
        <x:v>Shandong</x:v>
      </x:c>
      <x:c r="D15" s="22" t="n">
        <x:v>1044</x:v>
      </x:c>
      <x:c r="E15" s="23" t="n">
        <x:v>45747</x:v>
      </x:c>
      <x:c r="F15" s="23" t="n">
        <x:v>46041</x:v>
      </x:c>
      <x:c r="G15" s="14" t="str">
        <x:f>IF(E15="","Unknown",IF(E15&lt;='Cutoff Policy'!$B$4,"Yes","No"))</x:f>
        <x:v>Yes</x:v>
      </x:c>
      <x:c r="H15" s="24" t="n">
        <x:v>0.1013496</x:v>
      </x:c>
      <x:c r="I15" s="23" t="n">
        <x:v>45747</x:v>
      </x:c>
      <x:c r="J15" s="23" t="n">
        <x:v>45736</x:v>
      </x:c>
      <x:c r="K15" s="14" t="str">
        <x:f>IF(I15="","Unknown",IF(I15&lt;='Cutoff Policy'!$B$4,"Yes","No"))</x:f>
        <x:v>Yes</x:v>
      </x:c>
      <x:c r="L15" s="14" t="str">
        <x:f>IF(F15="","Unknown",IF(F15&lt;='Cutoff Policy'!$B$5,"Yes","No"))</x:f>
        <x:v>Yes</x:v>
      </x:c>
      <x:c r="M15" s="14" t="str">
        <x:f>IF(J15="","Unknown",IF(J15&lt;='Cutoff Policy'!$B$5,"Yes","No"))</x:f>
        <x:v>Yes</x:v>
      </x:c>
      <x:c r="N15" s="14" t="str">
        <x:f>IF(OR(L15="Unknown",M15="Unknown"),"Incomplete date record",IF(AND(L15="Yes",M15="Yes"),"Pass","After research cutoff"))</x:f>
        <x:v>Pass</x:v>
      </x:c>
      <x:c r="O15" s="14" t="str">
        <x:f>IF(OR(G15="Unknown",K15="Unknown"),"Unknown",IF(AND(G15="Yes",K15="Yes"),"Aligned","Later than cutoff"))</x:f>
        <x:v>Aligned</x:v>
      </x:c>
      <x:c r="P15" s="14" t="str">
        <x:v>https://13115299.s21i.faiusr.com/61/1/ABUIABA9GAAg4pOYywYogpflxgc.pdf</x:v>
      </x:c>
      <x:c r="Q15" s="14" t="str">
        <x:v>https://www.yantai.gov.cn/art/2025/3/20/art_70253_3244147.html — Capacity is a treemap estimate; price is a tariff proxy at 90% load factor.</x:v>
      </x:c>
    </x:row>
    <x:row r="16">
      <x:c r="A16" s="14" t="str">
        <x:v>CN-12</x:v>
      </x:c>
      <x:c r="B16" s="14" t="str">
        <x:v>China</x:v>
      </x:c>
      <x:c r="C16" s="14" t="str">
        <x:v>Shanghai</x:v>
      </x:c>
      <x:c r="D16" s="22" t="n">
        <x:v>1607</x:v>
      </x:c>
      <x:c r="E16" s="23" t="n">
        <x:v>45747</x:v>
      </x:c>
      <x:c r="F16" s="23" t="n">
        <x:v>46041</x:v>
      </x:c>
      <x:c r="G16" s="14" t="str">
        <x:f>IF(E16="","Unknown",IF(E16&lt;='Cutoff Policy'!$B$4,"Yes","No"))</x:f>
        <x:v>Yes</x:v>
      </x:c>
      <x:c r="H16" s="24" t="n">
        <x:v>0.1041252</x:v>
      </x:c>
      <x:c r="I16" s="23" t="n">
        <x:v>45838</x:v>
      </x:c>
      <x:c r="J16" s="23"/>
      <x:c r="K16" s="14" t="str">
        <x:f>IF(I16="","Unknown",IF(I16&lt;='Cutoff Policy'!$B$4,"Yes","No"))</x:f>
        <x:v>Yes</x:v>
      </x:c>
      <x:c r="L16" s="14" t="str">
        <x:f>IF(F16="","Unknown",IF(F16&lt;='Cutoff Policy'!$B$5,"Yes","No"))</x:f>
        <x:v>Yes</x:v>
      </x:c>
      <x:c r="M16" s="14" t="str">
        <x:f>IF(J16="","Unknown",IF(J16&lt;='Cutoff Policy'!$B$5,"Yes","No"))</x:f>
        <x:v>Unknown</x:v>
      </x:c>
      <x:c r="N16" s="14" t="str">
        <x:f>IF(OR(L16="Unknown",M16="Unknown"),"Incomplete date record",IF(AND(L16="Yes",M16="Yes"),"Pass","After research cutoff"))</x:f>
        <x:v>Incomplete date record</x:v>
      </x:c>
      <x:c r="O16" s="14" t="str">
        <x:f>IF(OR(G16="Unknown",K16="Unknown"),"Unknown",IF(AND(G16="Yes",K16="Yes"),"Aligned","Later than cutoff"))</x:f>
        <x:v>Aligned</x:v>
      </x:c>
      <x:c r="P16" s="14" t="str">
        <x:v>https://13115299.s21i.faiusr.com/61/1/ABUIABA9GAAg4pOYywYogpflxgc.pdf</x:v>
      </x:c>
      <x:c r="Q16" s="14" t="str">
        <x:v>https://www.shanghai.gov.cn/cmsres/8d/8dbc9d8c392e43b791295f493f1d247e/5b1658885ab19ab927050e05dfbb83f9.pdf — Capacity is a treemap estimate. The linked tariff source needs replacement: it appears to be a policy notice, not the June tariff table.</x:v>
      </x:c>
    </x:row>
    <x:row r="17">
      <x:c r="A17" s="14" t="str">
        <x:v>GL-01</x:v>
      </x:c>
      <x:c r="B17" s="14" t="str">
        <x:v>Canada</x:v>
      </x:c>
      <x:c r="C17" s="14" t="str">
        <x:v>Montreal, Quebec</x:v>
      </x:c>
      <x:c r="D17" s="22" t="n">
        <x:v>229.5</x:v>
      </x:c>
      <x:c r="E17" s="23" t="n">
        <x:v>46022</x:v>
      </x:c>
      <x:c r="F17" s="23" t="n">
        <x:v>46099</x:v>
      </x:c>
      <x:c r="G17" s="14" t="str">
        <x:f>IF(E17="","Unknown",IF(E17&lt;='Cutoff Policy'!$B$4,"Yes","No"))</x:f>
        <x:v>Yes</x:v>
      </x:c>
      <x:c r="H17" s="24" t="n">
        <x:v>0.0375438</x:v>
      </x:c>
      <x:c r="I17" s="23" t="n">
        <x:v>46022</x:v>
      </x:c>
      <x:c r="J17" s="23"/>
      <x:c r="K17" s="14" t="str">
        <x:f>IF(I17="","Unknown",IF(I17&lt;='Cutoff Policy'!$B$4,"Yes","No"))</x:f>
        <x:v>Yes</x:v>
      </x:c>
      <x:c r="L17" s="14" t="str">
        <x:f>IF(F17="","Unknown",IF(F17&lt;='Cutoff Policy'!$B$5,"Yes","No"))</x:f>
        <x:v>Yes</x:v>
      </x:c>
      <x:c r="M17" s="14" t="str">
        <x:f>IF(J17="","Unknown",IF(J17&lt;='Cutoff Policy'!$B$5,"Yes","No"))</x:f>
        <x:v>Unknown</x:v>
      </x:c>
      <x:c r="N17" s="14" t="str">
        <x:f>IF(OR(L17="Unknown",M17="Unknown"),"Incomplete date record",IF(AND(L17="Yes",M17="Yes"),"Pass","After research cutoff"))</x:f>
        <x:v>Incomplete date record</x:v>
      </x:c>
      <x:c r="O17" s="14" t="str">
        <x:f>IF(OR(G17="Unknown",K17="Unknown"),"Unknown",IF(AND(G17="Yes",K17="Yes"),"Aligned","Later than cutoff"))</x:f>
        <x:v>Aligned</x:v>
      </x:c>
      <x:c r="P17" s="14" t="str">
        <x:v>https://www.cbre.com/press-releases/northern-virginia-extends-lead-as-largest-u-s-data-center-market-in-2025</x:v>
      </x:c>
      <x:c r="Q17" s="14" t="str">
        <x:v>https://www.hydroquebec.com/data/documents-donnees/pdf/rates-chart-2025.pdf — Wholesale H2 2025 market inventory; Rate L effective price. Rate-chart publication day is unrecorded.</x:v>
      </x:c>
    </x:row>
    <x:row r="18">
      <x:c r="A18" s="14" t="str">
        <x:v>GL-02</x:v>
      </x:c>
      <x:c r="B18" s="14" t="str">
        <x:v>Saudi Arabia</x:v>
      </x:c>
      <x:c r="C18" s="14" t="str">
        <x:v>Saudi Arabia</x:v>
      </x:c>
      <x:c r="D18" s="22" t="n">
        <x:v>440</x:v>
      </x:c>
      <x:c r="E18" s="23" t="n">
        <x:v>46022</x:v>
      </x:c>
      <x:c r="F18" s="23" t="n">
        <x:v>46144</x:v>
      </x:c>
      <x:c r="G18" s="14" t="str">
        <x:f>IF(E18="","Unknown",IF(E18&lt;='Cutoff Policy'!$B$4,"Yes","No"))</x:f>
        <x:v>Yes</x:v>
      </x:c>
      <x:c r="H18" s="24" t="n">
        <x:v>0.048</x:v>
      </x:c>
      <x:c r="I18" s="23"/>
      <x:c r="J18" s="23"/>
      <x:c r="K18" s="14" t="str">
        <x:f>IF(I18="","Unknown",IF(I18&lt;='Cutoff Policy'!$B$4,"Yes","No"))</x:f>
        <x:v>Unknown</x:v>
      </x:c>
      <x:c r="L18" s="14" t="str">
        <x:f>IF(F18="","Unknown",IF(F18&lt;='Cutoff Policy'!$B$5,"Yes","No"))</x:f>
        <x:v>Yes</x:v>
      </x:c>
      <x:c r="M18" s="14" t="str">
        <x:f>IF(J18="","Unknown",IF(J18&lt;='Cutoff Policy'!$B$5,"Yes","No"))</x:f>
        <x:v>Unknown</x:v>
      </x:c>
      <x:c r="N18" s="14" t="str">
        <x:f>IF(OR(L18="Unknown",M18="Unknown"),"Incomplete date record",IF(AND(L18="Yes",M18="Yes"),"Pass","After research cutoff"))</x:f>
        <x:v>Incomplete date record</x:v>
      </x:c>
      <x:c r="O18" s="14" t="str">
        <x:f>IF(OR(G18="Unknown",K18="Unknown"),"Unknown",IF(AND(G18="Yes",K18="Yes"),"Aligned","Later than cutoff"))</x:f>
        <x:v>Unknown</x:v>
      </x:c>
      <x:c r="P18" s="14" t="str">
        <x:v>https://www.spa.gov.sa/ar/w2575816</x:v>
      </x:c>
      <x:c r="Q18" s="14" t="str">
        <x:v>https://sera.gov.sa/en/consumer/electric-tariff/electric-tariff-categories/consumption-tariff — National operating capacity; regulated cloud tariff page is undated/current.</x:v>
      </x:c>
    </x:row>
    <x:row r="19">
      <x:c r="A19" s="14" t="str">
        <x:v>GL-03</x:v>
      </x:c>
      <x:c r="B19" s="14" t="str">
        <x:v>United States</x:v>
      </x:c>
      <x:c r="C19" s="14" t="str">
        <x:v>Dallas-Fort Worth</x:v>
      </x:c>
      <x:c r="D19" s="22" t="n">
        <x:v>1067.3</x:v>
      </x:c>
      <x:c r="E19" s="23" t="n">
        <x:v>46022</x:v>
      </x:c>
      <x:c r="F19" s="23" t="n">
        <x:v>46099</x:v>
      </x:c>
      <x:c r="G19" s="14" t="str">
        <x:f>IF(E19="","Unknown",IF(E19&lt;='Cutoff Policy'!$B$4,"Yes","No"))</x:f>
        <x:v>Yes</x:v>
      </x:c>
      <x:c r="H19" s="24" t="n">
        <x:v>0.0612</x:v>
      </x:c>
      <x:c r="I19" s="23" t="n">
        <x:v>45657</x:v>
      </x:c>
      <x:c r="J19" s="23"/>
      <x:c r="K19" s="14" t="str">
        <x:f>IF(I19="","Unknown",IF(I19&lt;='Cutoff Policy'!$B$4,"Yes","No"))</x:f>
        <x:v>Yes</x:v>
      </x:c>
      <x:c r="L19" s="14" t="str">
        <x:f>IF(F19="","Unknown",IF(F19&lt;='Cutoff Policy'!$B$5,"Yes","No"))</x:f>
        <x:v>Yes</x:v>
      </x:c>
      <x:c r="M19" s="14" t="str">
        <x:f>IF(J19="","Unknown",IF(J19&lt;='Cutoff Policy'!$B$5,"Yes","No"))</x:f>
        <x:v>Unknown</x:v>
      </x:c>
      <x:c r="N19" s="14" t="str">
        <x:f>IF(OR(L19="Unknown",M19="Unknown"),"Incomplete date record",IF(AND(L19="Yes",M19="Yes"),"Pass","After research cutoff"))</x:f>
        <x:v>Incomplete date record</x:v>
      </x:c>
      <x:c r="O19" s="14" t="str">
        <x:f>IF(OR(G19="Unknown",K19="Unknown"),"Unknown",IF(AND(G19="Yes",K19="Yes"),"Aligned","Later than cutoff"))</x:f>
        <x:v>Aligned</x:v>
      </x:c>
      <x:c r="P19" s="14" t="str">
        <x:v>https://www.cbre.com/press-releases/northern-virginia-extends-lead-as-largest-u-s-data-center-market-in-2025</x:v>
      </x:c>
      <x:c r="Q19" s="14" t="str">
        <x:v>https://www.eia.gov/electricity/annual/table.php?t=epa_02_10.html — Wholesale H2 2025 market inventory; 2024 Texas industrial average, not a hyperscale contract.</x:v>
      </x:c>
    </x:row>
    <x:row r="20">
      <x:c r="A20" s="14" t="str">
        <x:v>GL-04</x:v>
      </x:c>
      <x:c r="B20" s="14" t="str">
        <x:v>United States</x:v>
      </x:c>
      <x:c r="C20" s="14" t="str">
        <x:v>Northern Virginia</x:v>
      </x:c>
      <x:c r="D20" s="22" t="n">
        <x:v>4039.6</x:v>
      </x:c>
      <x:c r="E20" s="23" t="n">
        <x:v>46022</x:v>
      </x:c>
      <x:c r="F20" s="23" t="n">
        <x:v>46099</x:v>
      </x:c>
      <x:c r="G20" s="14" t="str">
        <x:f>IF(E20="","Unknown",IF(E20&lt;='Cutoff Policy'!$B$4,"Yes","No"))</x:f>
        <x:v>Yes</x:v>
      </x:c>
      <x:c r="H20" s="24" t="n">
        <x:v>0.0899</x:v>
      </x:c>
      <x:c r="I20" s="23" t="n">
        <x:v>45657</x:v>
      </x:c>
      <x:c r="J20" s="23"/>
      <x:c r="K20" s="14" t="str">
        <x:f>IF(I20="","Unknown",IF(I20&lt;='Cutoff Policy'!$B$4,"Yes","No"))</x:f>
        <x:v>Yes</x:v>
      </x:c>
      <x:c r="L20" s="14" t="str">
        <x:f>IF(F20="","Unknown",IF(F20&lt;='Cutoff Policy'!$B$5,"Yes","No"))</x:f>
        <x:v>Yes</x:v>
      </x:c>
      <x:c r="M20" s="14" t="str">
        <x:f>IF(J20="","Unknown",IF(J20&lt;='Cutoff Policy'!$B$5,"Yes","No"))</x:f>
        <x:v>Unknown</x:v>
      </x:c>
      <x:c r="N20" s="14" t="str">
        <x:f>IF(OR(L20="Unknown",M20="Unknown"),"Incomplete date record",IF(AND(L20="Yes",M20="Yes"),"Pass","After research cutoff"))</x:f>
        <x:v>Incomplete date record</x:v>
      </x:c>
      <x:c r="O20" s="14" t="str">
        <x:f>IF(OR(G20="Unknown",K20="Unknown"),"Unknown",IF(AND(G20="Yes",K20="Yes"),"Aligned","Later than cutoff"))</x:f>
        <x:v>Aligned</x:v>
      </x:c>
      <x:c r="P20" s="14" t="str">
        <x:v>https://www.cbre.com/press-releases/northern-virginia-extends-lead-as-largest-u-s-data-center-market-in-2025</x:v>
      </x:c>
      <x:c r="Q20" s="14" t="str">
        <x:v>https://www.eia.gov/electricity/annual/table.php?t=epa_02_10.html — Wholesale H2 2025 market inventory; 2024 Virginia industrial average, not a hyperscale contract.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37" hidden="0" customWidth="1"/>
    <x:col min="4" max="4" width="19" hidden="0" customWidth="1"/>
    <x:col min="5" max="5" width="16" hidden="0" customWidth="1"/>
    <x:col min="6" max="6" width="18" hidden="0" customWidth="1"/>
    <x:col min="7" max="7" width="18" hidden="0" customWidth="1"/>
    <x:col min="8" max="8" width="19" hidden="0" customWidth="1"/>
    <x:col min="9" max="9" width="20" hidden="0" customWidth="1"/>
    <x:col min="10" max="10" width="17" hidden="0" customWidth="1"/>
    <x:col min="11" max="11" width="23" hidden="0" customWidth="1"/>
    <x:col min="12" max="12" width="31" hidden="0" customWidth="1"/>
    <x:col min="13" max="13" width="42" hidden="0" customWidth="1"/>
    <x:col min="14" max="14" width="62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62" hidden="0" customWidth="1"/>
  </x:cols>
  <x:sheetData>
    <x:row r="1" ht="30" customHeight="1">
      <x:c r="A1" s="3" t="str">
        <x:v>Source register</x:v>
      </x:c>
    </x:row>
    <x:row r="2" ht="34" customHeight="1">
      <x:c r="A2" s="7" t="str">
        <x:v>One row per sourced or derived figure. Blank publication dates are deliberate: the source is undated or the exact release day has not yet been established.</x:v>
      </x:c>
    </x:row>
    <x:row r="4" ht="42" customHeight="1">
      <x:c r="A4" s="12" t="str">
        <x:v>ID</x:v>
      </x:c>
      <x:c r="B4" s="12" t="str">
        <x:v>Category</x:v>
      </x:c>
      <x:c r="C4" s="12" t="str">
        <x:v>Figure / variable</x:v>
      </x:c>
      <x:c r="D4" s="12" t="str">
        <x:v>Geography</x:v>
      </x:c>
      <x:c r="E4" s="12" t="str">
        <x:v>Value</x:v>
      </x:c>
      <x:c r="F4" s="12" t="str">
        <x:v>Unit</x:v>
      </x:c>
      <x:c r="G4" s="12" t="str">
        <x:v>Qualifier</x:v>
      </x:c>
      <x:c r="H4" s="12" t="str">
        <x:v>Observation / effective date</x:v>
      </x:c>
      <x:c r="I4" s="12" t="str">
        <x:v>Date precision</x:v>
      </x:c>
      <x:c r="J4" s="12" t="str">
        <x:v>Publication date</x:v>
      </x:c>
      <x:c r="K4" s="12" t="str">
        <x:v>Publication date detail</x:v>
      </x:c>
      <x:c r="L4" s="12" t="str">
        <x:v>Publisher</x:v>
      </x:c>
      <x:c r="M4" s="12" t="str">
        <x:v>Source title</x:v>
      </x:c>
      <x:c r="N4" s="12" t="str">
        <x:v>Source URL</x:v>
      </x:c>
      <x:c r="O4" s="12" t="str">
        <x:v>Current chart use</x:v>
      </x:c>
      <x:c r="P4" s="12" t="str">
        <x:v>Observation cutoff</x:v>
      </x:c>
      <x:c r="Q4" s="12" t="str">
        <x:v>Publication cutoff</x:v>
      </x:c>
      <x:c r="R4" s="12" t="str">
        <x:v>Overall status</x:v>
      </x:c>
      <x:c r="S4" s="12" t="str">
        <x:v>Boundary / notes</x:v>
      </x:c>
    </x:row>
    <x:row r="5">
      <x:c r="A5" s="14" t="str">
        <x:v>SRC-001</x:v>
      </x:c>
      <x:c r="B5" s="14" t="str">
        <x:v>Capacity</x:v>
      </x:c>
      <x:c r="C5" s="14" t="str">
        <x:v>China in-use standard racks</x:v>
      </x:c>
      <x:c r="D5" s="14" t="str">
        <x:v>China</x:v>
      </x:c>
      <x:c r="E5" s="27" t="n">
        <x:v>10430000</x:v>
      </x:c>
      <x:c r="F5" s="14" t="str">
        <x:v>standard racks</x:v>
      </x:c>
      <x:c r="G5" s="14" t="str">
        <x:v>Exact</x:v>
      </x:c>
      <x:c r="H5" s="23" t="n">
        <x:v>45747</x:v>
      </x:c>
      <x:c r="I5" s="14" t="str">
        <x:v>Exact day</x:v>
      </x:c>
      <x:c r="J5" s="23" t="n">
        <x:v>45856</x:v>
      </x:c>
      <x:c r="K5" s="14" t="str">
        <x:v>Exact</x:v>
      </x:c>
      <x:c r="L5" s="14" t="str">
        <x:v>MIIT / State Council Information Office</x:v>
      </x:c>
      <x:c r="M5" s="14" t="str">
        <x:v>H1 2025 industry press conference</x:v>
      </x:c>
      <x:c r="N5" s="14" t="str">
        <x:v>https://www.miit.gov.cn/xwfb/bldhd/art/2025/art_ee70dcf2aa474bd791a7b290e7617635.html</x:v>
      </x:c>
      <x:c r="O5" s="14" t="str">
        <x:v>Yes – normalizes provincial widths</x:v>
      </x:c>
      <x:c r="P5" s="14" t="str">
        <x:f>IF(H5="","Unknown",IF(H5&lt;='Cutoff Policy'!$B$4,"Pass","After cutoff"))</x:f>
        <x:v>Pass</x:v>
      </x:c>
      <x:c r="Q5" s="14" t="str">
        <x:f>IF(J5="","Unknown",IF(J5&lt;='Cutoff Policy'!$B$5,"Pass","After cutoff"))</x:f>
        <x:v>Pass</x:v>
      </x:c>
      <x:c r="R5" s="14" t="str">
        <x:f>IF(OR(P5="After cutoff",Q5="After cutoff"),"Exclude from baseline",IF(OR(P5="Unknown",Q5="Unknown"),"Needs date / judgment",IF(G5="Target","Target only","Pass")))</x:f>
        <x:v>Pass</x:v>
      </x:c>
      <x:c r="S5" s="14" t="str">
        <x:v>Official national total; in-use standard racks.</x:v>
      </x:c>
    </x:row>
    <x:row r="6">
      <x:c r="A6" s="14" t="str">
        <x:v>SRC-002</x:v>
      </x:c>
      <x:c r="B6" s="14" t="str">
        <x:v>Capacity</x:v>
      </x:c>
      <x:c r="C6" s="14" t="str">
        <x:v>Provincial in-use standard-rack distribution</x:v>
      </x:c>
      <x:c r="D6" s="14" t="str">
        <x:v>China provinces</x:v>
      </x:c>
      <x:c r="E6" s="27" t="n">
        <x:v>1</x:v>
      </x:c>
      <x:c r="F6" s="14" t="str">
        <x:v>treemap distribution</x:v>
      </x:c>
      <x:c r="G6" s="14" t="str">
        <x:v>Areas digitized</x:v>
      </x:c>
      <x:c r="H6" s="23" t="n">
        <x:v>45747</x:v>
      </x:c>
      <x:c r="I6" s="14" t="str">
        <x:v>Exact day</x:v>
      </x:c>
      <x:c r="J6" s="23" t="n">
        <x:v>46041</x:v>
      </x:c>
      <x:c r="K6" s="14" t="str">
        <x:v>Online release</x:v>
      </x:c>
      <x:c r="L6" s="14" t="str">
        <x:v>CAICT / ODCC</x:v>
      </x:c>
      <x:c r="M6" s="14" t="str">
        <x:v>Comprehensive Computing Power Index Blue Book (2025)</x:v>
      </x:c>
      <x:c r="N6" s="14" t="str">
        <x:v>https://13115299.s21i.faiusr.com/61/1/ABUIABA9GAAg4pOYywYogpflxgc.pdf</x:v>
      </x:c>
      <x:c r="O6" s="14" t="str">
        <x:v>Yes – provincial shares</x:v>
      </x:c>
      <x:c r="P6" s="14" t="str">
        <x:f>IF(H6="","Unknown",IF(H6&lt;='Cutoff Policy'!$B$4,"Pass","After cutoff"))</x:f>
        <x:v>Pass</x:v>
      </x:c>
      <x:c r="Q6" s="14" t="str">
        <x:f>IF(J6="","Unknown",IF(J6&lt;='Cutoff Policy'!$B$5,"Pass","After cutoff"))</x:f>
        <x:v>Pass</x:v>
      </x:c>
      <x:c r="R6" s="14" t="str">
        <x:f>IF(OR(P6="After cutoff",Q6="After cutoff"),"Exclude from baseline",IF(OR(P6="Unknown",Q6="Unknown"),"Needs date / judgment",IF(G6="Target","Target only","Pass")))</x:f>
        <x:v>Pass</x:v>
      </x:c>
      <x:c r="S6" s="14" t="str">
        <x:v>The report publishes a treemap, not a numeric table; figures are estimates derived from rectangle areas.</x:v>
      </x:c>
    </x:row>
    <x:row r="7">
      <x:c r="A7" s="14" t="str">
        <x:v>SRC-003</x:v>
      </x:c>
      <x:c r="B7" s="14" t="str">
        <x:v>Capacity</x:v>
      </x:c>
      <x:c r="C7" s="14" t="str">
        <x:v>Hohhot / Helinger facility power</x:v>
      </x:c>
      <x:c r="D7" s="14" t="str">
        <x:v>Inner Mongolia</x:v>
      </x:c>
      <x:c r="E7" s="27" t="n">
        <x:v>326</x:v>
      </x:c>
      <x:c r="F7" s="14" t="str">
        <x:v>MW facility power</x:v>
      </x:c>
      <x:c r="G7" s="14" t="str">
        <x:v>Reported</x:v>
      </x:c>
      <x:c r="H7" s="23" t="n">
        <x:v>45291</x:v>
      </x:c>
      <x:c r="I7" s="14" t="str">
        <x:v>Year end</x:v>
      </x:c>
      <x:c r="J7" s="23" t="n">
        <x:v>45719</x:v>
      </x:c>
      <x:c r="K7" s="14" t="str">
        <x:v>Exact</x:v>
      </x:c>
      <x:c r="L7" s="14" t="str">
        <x:v>Guosen Securities / Eastmoney file host</x:v>
      </x:c>
      <x:c r="M7" s="14" t="str">
        <x:v>Inner Mongolia green-compute industry report</x:v>
      </x:c>
      <x:c r="N7" s="14" t="str">
        <x:v>https://pdf.dfcfw.com/pdf/H3_AP202503031643671670_1.pdf</x:v>
      </x:c>
      <x:c r="O7" s="14" t="str">
        <x:v>Yes – derivation</x:v>
      </x:c>
      <x:c r="P7" s="14" t="str">
        <x:f>IF(H7="","Unknown",IF(H7&lt;='Cutoff Policy'!$B$4,"Pass","After cutoff"))</x:f>
        <x:v>Pass</x:v>
      </x:c>
      <x:c r="Q7" s="14" t="str">
        <x:f>IF(J7="","Unknown",IF(J7&lt;='Cutoff Policy'!$B$5,"Pass","After cutoff"))</x:f>
        <x:v>Pass</x:v>
      </x:c>
      <x:c r="R7" s="14" t="str">
        <x:f>IF(OR(P7="After cutoff",Q7="After cutoff"),"Exclude from baseline",IF(OR(P7="Unknown",Q7="Unknown"),"Needs date / judgment",IF(G7="Target","Target only","Pass")))</x:f>
        <x:v>Pass</x:v>
      </x:c>
      <x:c r="S7" s="14" t="str">
        <x:v>Underlying figure for the 269.4 MW IT-capacity subset.</x:v>
      </x:c>
    </x:row>
    <x:row r="8">
      <x:c r="A8" s="14" t="str">
        <x:v>SRC-004</x:v>
      </x:c>
      <x:c r="B8" s="14" t="str">
        <x:v>Facility</x:v>
      </x:c>
      <x:c r="C8" s="14" t="str">
        <x:v>Hohhot / Helinger subset PUE</x:v>
      </x:c>
      <x:c r="D8" s="14" t="str">
        <x:v>Inner Mongolia</x:v>
      </x:c>
      <x:c r="E8" s="27" t="n">
        <x:v>1.21</x:v>
      </x:c>
      <x:c r="F8" s="14" t="str">
        <x:v>ratio</x:v>
      </x:c>
      <x:c r="G8" s="14" t="str">
        <x:v>Reported</x:v>
      </x:c>
      <x:c r="H8" s="23" t="n">
        <x:v>45291</x:v>
      </x:c>
      <x:c r="I8" s="14" t="str">
        <x:v>Year end</x:v>
      </x:c>
      <x:c r="J8" s="23" t="n">
        <x:v>45719</x:v>
      </x:c>
      <x:c r="K8" s="14" t="str">
        <x:v>Exact</x:v>
      </x:c>
      <x:c r="L8" s="14" t="str">
        <x:v>Guosen Securities / Eastmoney file host</x:v>
      </x:c>
      <x:c r="M8" s="14" t="str">
        <x:v>Inner Mongolia green-compute industry report</x:v>
      </x:c>
      <x:c r="N8" s="14" t="str">
        <x:v>https://pdf.dfcfw.com/pdf/H3_AP202503031643671670_1.pdf</x:v>
      </x:c>
      <x:c r="O8" s="14" t="str">
        <x:v>Yes – derivation</x:v>
      </x:c>
      <x:c r="P8" s="14" t="str">
        <x:f>IF(H8="","Unknown",IF(H8&lt;='Cutoff Policy'!$B$4,"Pass","After cutoff"))</x:f>
        <x:v>Pass</x:v>
      </x:c>
      <x:c r="Q8" s="14" t="str">
        <x:f>IF(J8="","Unknown",IF(J8&lt;='Cutoff Policy'!$B$5,"Pass","After cutoff"))</x:f>
        <x:v>Pass</x:v>
      </x:c>
      <x:c r="R8" s="14" t="str">
        <x:f>IF(OR(P8="After cutoff",Q8="After cutoff"),"Exclude from baseline",IF(OR(P8="Unknown",Q8="Unknown"),"Needs date / judgment",IF(G8="Target","Target only","Pass")))</x:f>
        <x:v>Pass</x:v>
      </x:c>
      <x:c r="S8" s="14" t="str">
        <x:v>Used only to convert the documented subset's facility MW to IT MW.</x:v>
      </x:c>
    </x:row>
    <x:row r="9">
      <x:c r="A9" s="14" t="str">
        <x:v>SRC-005</x:v>
      </x:c>
      <x:c r="B9" s="14" t="str">
        <x:v>Capacity</x:v>
      </x:c>
      <x:c r="C9" s="14" t="str">
        <x:v>Gui'an powered-on standard racks</x:v>
      </x:c>
      <x:c r="D9" s="14" t="str">
        <x:v>Guizhou</x:v>
      </x:c>
      <x:c r="E9" s="27" t="n">
        <x:v>137400</x:v>
      </x:c>
      <x:c r="F9" s="14" t="str">
        <x:v>standard racks</x:v>
      </x:c>
      <x:c r="G9" s="14" t="str">
        <x:v>Reported</x:v>
      </x:c>
      <x:c r="H9" s="23" t="n">
        <x:v>45716</x:v>
      </x:c>
      <x:c r="I9" s="14" t="str">
        <x:v>Month end</x:v>
      </x:c>
      <x:c r="J9" s="23" t="n">
        <x:v>45811</x:v>
      </x:c>
      <x:c r="K9" s="14" t="str">
        <x:v>Exact</x:v>
      </x:c>
      <x:c r="L9" s="14" t="str">
        <x:v>Guiyang Municipal Government</x:v>
      </x:c>
      <x:c r="M9" s="14" t="str">
        <x:v>CPPCC proposal response on Gui'an data centres</x:v>
      </x:c>
      <x:c r="N9" s="14" t="str">
        <x:v>https://www.guiyang.gov.cn/zwgk/zwgkzdlyxxgkjyta/zwgkzdlyxxgkjytazxtawfws/zwgkzdlyxxgkjytazxtawfwsqs/202506/t20250603_87956837.html</x:v>
      </x:c>
      <x:c r="O9" s="14" t="str">
        <x:v>Yes – derivation</x:v>
      </x:c>
      <x:c r="P9" s="14" t="str">
        <x:f>IF(H9="","Unknown",IF(H9&lt;='Cutoff Policy'!$B$4,"Pass","After cutoff"))</x:f>
        <x:v>Pass</x:v>
      </x:c>
      <x:c r="Q9" s="14" t="str">
        <x:f>IF(J9="","Unknown",IF(J9&lt;='Cutoff Policy'!$B$5,"Pass","After cutoff"))</x:f>
        <x:v>Pass</x:v>
      </x:c>
      <x:c r="R9" s="14" t="str">
        <x:f>IF(OR(P9="After cutoff",Q9="After cutoff"),"Exclude from baseline",IF(OR(P9="Unknown",Q9="Unknown"),"Needs date / judgment",IF(G9="Target","Target only","Pass")))</x:f>
        <x:v>Pass</x:v>
      </x:c>
      <x:c r="S9" s="14" t="str">
        <x:v>Converted at the CAICT standard-rack basis of 2.5 kW.</x:v>
      </x:c>
    </x:row>
    <x:row r="10">
      <x:c r="A10" s="14" t="str">
        <x:v>SRC-010</x:v>
      </x:c>
      <x:c r="B10" s="14" t="str">
        <x:v>Electricity price</x:v>
      </x:c>
      <x:c r="C10" s="14" t="str">
        <x:v>Hohhot delivered green-power transaction price</x:v>
      </x:c>
      <x:c r="D10" s="14" t="str">
        <x:v>Inner Mongolia</x:v>
      </x:c>
      <x:c r="E10" s="27" t="n">
        <x:v>0.35</x:v>
      </x:c>
      <x:c r="F10" s="14" t="str">
        <x:v>CNY/kWh</x:v>
      </x:c>
      <x:c r="G10" s="14" t="str">
        <x:v>Reported</x:v>
      </x:c>
      <x:c r="H10" s="23" t="n">
        <x:v>45856</x:v>
      </x:c>
      <x:c r="I10" s="14" t="str">
        <x:v>Publication-date proxy</x:v>
      </x:c>
      <x:c r="J10" s="23" t="n">
        <x:v>45856</x:v>
      </x:c>
      <x:c r="K10" s="14" t="str">
        <x:v>Exact</x:v>
      </x:c>
      <x:c r="L10" s="14" t="str">
        <x:v>National Energy Administration / Xinhua</x:v>
      </x:c>
      <x:c r="M10" s="14" t="str">
        <x:v>Hohhot green-compute support</x:v>
      </x:c>
      <x:c r="N10" s="14" t="str">
        <x:v>https://www.nea.gov.cn/20250718/410e42d872e4417687cb5b0ab357d088/c.html</x:v>
      </x:c>
      <x:c r="O10" s="14" t="str">
        <x:v>Yes – chart height</x:v>
      </x:c>
      <x:c r="P10" s="14" t="str">
        <x:f>IF(H10="","Unknown",IF(H10&lt;='Cutoff Policy'!$B$4,"Pass","After cutoff"))</x:f>
        <x:v>Pass</x:v>
      </x:c>
      <x:c r="Q10" s="14" t="str">
        <x:f>IF(J10="","Unknown",IF(J10&lt;='Cutoff Policy'!$B$5,"Pass","After cutoff"))</x:f>
        <x:v>Pass</x:v>
      </x:c>
      <x:c r="R10" s="14" t="str">
        <x:f>IF(OR(P10="After cutoff",Q10="After cutoff"),"Exclude from baseline",IF(OR(P10="Unknown",Q10="Unknown"),"Needs date / judgment",IF(G10="Target","Target only","Pass")))</x:f>
        <x:v>Pass</x:v>
      </x:c>
      <x:c r="S10" s="14" t="str">
        <x:v>Article reports the local transaction price; no separate measurement date stated.</x:v>
      </x:c>
    </x:row>
    <x:row r="11">
      <x:c r="A11" s="14" t="str">
        <x:v>SRC-011</x:v>
      </x:c>
      <x:c r="B11" s="14" t="str">
        <x:v>Electricity price</x:v>
      </x:c>
      <x:c r="C11" s="14" t="str">
        <x:v>Gui'an data-centre delivered-price target</x:v>
      </x:c>
      <x:c r="D11" s="14" t="str">
        <x:v>Guizhou</x:v>
      </x:c>
      <x:c r="E11" s="27" t="n">
        <x:v>0.35</x:v>
      </x:c>
      <x:c r="F11" s="14" t="str">
        <x:v>CNY/kWh</x:v>
      </x:c>
      <x:c r="G11" s="14" t="str">
        <x:v>Target</x:v>
      </x:c>
      <x:c r="H11" s="23" t="n">
        <x:v>46022</x:v>
      </x:c>
      <x:c r="I11" s="14" t="str">
        <x:v>Target period end</x:v>
      </x:c>
      <x:c r="J11" s="23" t="n">
        <x:v>45723</x:v>
      </x:c>
      <x:c r="K11" s="14" t="str">
        <x:v>File date</x:v>
      </x:c>
      <x:c r="L11" s="14" t="str">
        <x:v>Guizhou Energy Administration</x:v>
      </x:c>
      <x:c r="M11" s="14" t="str">
        <x:v>2025 budget / policy attachment</x:v>
      </x:c>
      <x:c r="N11" s="14" t="str">
        <x:v>https://nyj.guizhou.gov.cn/zwgk/xxgkml/zdlyxx/czzj/202503/P020250307503578350701.pdf</x:v>
      </x:c>
      <x:c r="O11" s="14" t="str">
        <x:v>Yes – chart height</x:v>
      </x:c>
      <x:c r="P11" s="14" t="str">
        <x:f>IF(H11="","Unknown",IF(H11&lt;='Cutoff Policy'!$B$4,"Pass","After cutoff"))</x:f>
        <x:v>Pass</x:v>
      </x:c>
      <x:c r="Q11" s="14" t="str">
        <x:f>IF(J11="","Unknown",IF(J11&lt;='Cutoff Policy'!$B$5,"Pass","After cutoff"))</x:f>
        <x:v>Pass</x:v>
      </x:c>
      <x:c r="R11" s="14" t="str">
        <x:f>IF(OR(P11="After cutoff",Q11="After cutoff"),"Exclude from baseline",IF(OR(P11="Unknown",Q11="Unknown"),"Needs date / judgment",IF(G11="Target","Target only","Pass")))</x:f>
        <x:v>Target only</x:v>
      </x:c>
      <x:c r="S11" s="14" t="str">
        <x:v>A policy target, not an observed realised price.</x:v>
      </x:c>
    </x:row>
    <x:row r="12">
      <x:c r="A12" s="14" t="str">
        <x:v>SRC-012</x:v>
      </x:c>
      <x:c r="B12" s="14" t="str">
        <x:v>Electricity price</x:v>
      </x:c>
      <x:c r="C12" s="14" t="str">
        <x:v>Inner Mongolia residual tariff proxy</x:v>
      </x:c>
      <x:c r="D12" s="14" t="str">
        <x:v>Inner Mongolia</x:v>
      </x:c>
      <x:c r="E12" s="27" t="n">
        <x:v>0.49</x:v>
      </x:c>
      <x:c r="F12" s="14" t="str">
        <x:v>CNY/kWh</x:v>
      </x:c>
      <x:c r="G12" s="14" t="str">
        <x:v>Derived</x:v>
      </x:c>
      <x:c r="H12" s="23" t="n">
        <x:v>45838</x:v>
      </x:c>
      <x:c r="I12" s="14" t="str">
        <x:v>Effective month end</x:v>
      </x:c>
      <x:c r="J12" s="23" t="n">
        <x:v>45807</x:v>
      </x:c>
      <x:c r="K12" s="14" t="str">
        <x:v>Exact</x:v>
      </x:c>
      <x:c r="L12" s="14" t="str">
        <x:v>Inner Mongolia Power / Xilingol Government</x:v>
      </x:c>
      <x:c r="M12" s="14" t="str">
        <x:v>June 2025 industrial proxy-purchase tariff</x:v>
      </x:c>
      <x:c r="N12" s="14" t="str">
        <x:v>https://www.xlgl.gov.cn/xlgl/zw/zwgk/tzgg/2025090509233740836/index.html</x:v>
      </x:c>
      <x:c r="O12" s="14" t="str">
        <x:v>Yes – chart height</x:v>
      </x:c>
      <x:c r="P12" s="14" t="str">
        <x:f>IF(H12="","Unknown",IF(H12&lt;='Cutoff Policy'!$B$4,"Pass","After cutoff"))</x:f>
        <x:v>Pass</x:v>
      </x:c>
      <x:c r="Q12" s="14" t="str">
        <x:f>IF(J12="","Unknown",IF(J12&lt;='Cutoff Policy'!$B$5,"Pass","After cutoff"))</x:f>
        <x:v>Pass</x:v>
      </x:c>
      <x:c r="R12" s="14" t="str">
        <x:f>IF(OR(P12="After cutoff",Q12="After cutoff"),"Exclude from baseline",IF(OR(P12="Unknown",Q12="Unknown"),"Needs date / judgment",IF(G12="Target","Target only","Pass")))</x:f>
        <x:v>Pass</x:v>
      </x:c>
      <x:c r="S12" s="14" t="str">
        <x:v>Energy charge plus maximum-demand charge spread over 730 hours at 90% load factor.</x:v>
      </x:c>
    </x:row>
    <x:row r="13">
      <x:c r="A13" s="14" t="str">
        <x:v>SRC-013</x:v>
      </x:c>
      <x:c r="B13" s="14" t="str">
        <x:v>Electricity price</x:v>
      </x:c>
      <x:c r="C13" s="14" t="str">
        <x:v>Shanxi tariff proxy</x:v>
      </x:c>
      <x:c r="D13" s="14" t="str">
        <x:v>Shanxi</x:v>
      </x:c>
      <x:c r="E13" s="27" t="n">
        <x:v>0.58365</x:v>
      </x:c>
      <x:c r="F13" s="14" t="str">
        <x:v>CNY/kWh</x:v>
      </x:c>
      <x:c r="G13" s="14" t="str">
        <x:v>Derived</x:v>
      </x:c>
      <x:c r="H13" s="23" t="n">
        <x:v>46142</x:v>
      </x:c>
      <x:c r="I13" s="14" t="str">
        <x:v>Effective month end</x:v>
      </x:c>
      <x:c r="J13" s="23"/>
      <x:c r="K13" s="14" t="str">
        <x:v>Month only: 2026-04</x:v>
      </x:c>
      <x:c r="L13" s="14" t="str">
        <x:v>Energy Data Center</x:v>
      </x:c>
      <x:c r="M13" s="14" t="str">
        <x:v>April 2026 Shanxi industrial tariff</x:v>
      </x:c>
      <x:c r="N13" s="14" t="str">
        <x:v>https://energydc.cn/policy/sx/2026-04/cbe2e026-2c0e-11f1-9e60-f679c2336431</x:v>
      </x:c>
      <x:c r="O13" s="14" t="str">
        <x:v>Yes – chart height</x:v>
      </x:c>
      <x:c r="P13" s="14" t="str">
        <x:f>IF(H13="","Unknown",IF(H13&lt;='Cutoff Policy'!$B$4,"Pass","After cutoff"))</x:f>
        <x:v>After cutoff</x:v>
      </x:c>
      <x:c r="Q13" s="14" t="str">
        <x:f>IF(J13="","Unknown",IF(J13&lt;='Cutoff Policy'!$B$5,"Pass","After cutoff"))</x:f>
        <x:v>Unknown</x:v>
      </x:c>
      <x:c r="R13" s="14" t="str">
        <x:f>IF(OR(P13="After cutoff",Q13="After cutoff"),"Exclude from baseline",IF(OR(P13="Unknown",Q13="Unknown"),"Needs date / judgment",IF(G13="Target","Target only","Pass")))</x:f>
        <x:v>Exclude from baseline</x:v>
      </x:c>
      <x:c r="S13" s="14" t="str">
        <x:v>Fails the end-2025 observation cutoff and is a secondary source.</x:v>
      </x:c>
    </x:row>
    <x:row r="14">
      <x:c r="A14" s="14" t="str">
        <x:v>SRC-014</x:v>
      </x:c>
      <x:c r="B14" s="14" t="str">
        <x:v>Electricity price</x:v>
      </x:c>
      <x:c r="C14" s="14" t="str">
        <x:v>Zhejiang tariff proxy</x:v>
      </x:c>
      <x:c r="D14" s="14" t="str">
        <x:v>Zhejiang</x:v>
      </x:c>
      <x:c r="E14" s="27" t="n">
        <x:v>0.63052</x:v>
      </x:c>
      <x:c r="F14" s="14" t="str">
        <x:v>CNY/kWh</x:v>
      </x:c>
      <x:c r="G14" s="14" t="str">
        <x:v>Derived</x:v>
      </x:c>
      <x:c r="H14" s="23" t="n">
        <x:v>45838</x:v>
      </x:c>
      <x:c r="I14" s="14" t="str">
        <x:v>Effective month end</x:v>
      </x:c>
      <x:c r="J14" s="23"/>
      <x:c r="K14" s="14" t="str">
        <x:v>Unrecorded</x:v>
      </x:c>
      <x:c r="L14" s="14" t="str">
        <x:v>State Grid Zhejiang</x:v>
      </x:c>
      <x:c r="M14" s="14" t="str">
        <x:v>June 2025 proxy-purchase tariff</x:v>
      </x:c>
      <x:c r="N14" s="14" t="str">
        <x:v>https://zjjcmspublic.oss-cn-hangzhou-zwynet-d01-a.internet.cloud.zj.gov.cn/jcms_files/jcms1/web2241/site/attach/0/d94d1693bc7042f0a4349368bbb18419.pdf</x:v>
      </x:c>
      <x:c r="O14" s="14" t="str">
        <x:v>Yes – chart height</x:v>
      </x:c>
      <x:c r="P14" s="14" t="str">
        <x:f>IF(H14="","Unknown",IF(H14&lt;='Cutoff Policy'!$B$4,"Pass","After cutoff"))</x:f>
        <x:v>Pass</x:v>
      </x:c>
      <x:c r="Q14" s="14" t="str">
        <x:f>IF(J14="","Unknown",IF(J14&lt;='Cutoff Policy'!$B$5,"Pass","After cutoff"))</x:f>
        <x:v>Unknown</x:v>
      </x:c>
      <x:c r="R14" s="14" t="str">
        <x:f>IF(OR(P14="After cutoff",Q14="After cutoff"),"Exclude from baseline",IF(OR(P14="Unknown",Q14="Unknown"),"Needs date / judgment",IF(G14="Target","Target only","Pass")))</x:f>
        <x:v>Needs date / judgment</x:v>
      </x:c>
      <x:c r="S14" s="14" t="str">
        <x:v>Official attachment; publication day still needs a landing-page record.</x:v>
      </x:c>
    </x:row>
    <x:row r="15">
      <x:c r="A15" s="14" t="str">
        <x:v>SRC-015</x:v>
      </x:c>
      <x:c r="B15" s="14" t="str">
        <x:v>Electricity price</x:v>
      </x:c>
      <x:c r="C15" s="14" t="str">
        <x:v>Guizhou tariff proxy</x:v>
      </x:c>
      <x:c r="D15" s="14" t="str">
        <x:v>Guizhou</x:v>
      </x:c>
      <x:c r="E15" s="27" t="n">
        <x:v>0.63093</x:v>
      </x:c>
      <x:c r="F15" s="14" t="str">
        <x:v>CNY/kWh</x:v>
      </x:c>
      <x:c r="G15" s="14" t="str">
        <x:v>Derived</x:v>
      </x:c>
      <x:c r="H15" s="23" t="n">
        <x:v>45838</x:v>
      </x:c>
      <x:c r="I15" s="14" t="str">
        <x:v>Effective month end</x:v>
      </x:c>
      <x:c r="J15" s="23" t="n">
        <x:v>45807</x:v>
      </x:c>
      <x:c r="K15" s="14" t="str">
        <x:v>File date</x:v>
      </x:c>
      <x:c r="L15" s="14" t="str">
        <x:v>Guizhou Power Grid</x:v>
      </x:c>
      <x:c r="M15" s="14" t="str">
        <x:v>June 2025 proxy-purchase tariff</x:v>
      </x:c>
      <x:c r="N15" s="14" t="str">
        <x:v>https://www.lp.gov.cn/newsite/xwdt/gsgg_5768869/202505/P020250530625753057568.pdf</x:v>
      </x:c>
      <x:c r="O15" s="14" t="str">
        <x:v>Yes – chart height</x:v>
      </x:c>
      <x:c r="P15" s="14" t="str">
        <x:f>IF(H15="","Unknown",IF(H15&lt;='Cutoff Policy'!$B$4,"Pass","After cutoff"))</x:f>
        <x:v>Pass</x:v>
      </x:c>
      <x:c r="Q15" s="14" t="str">
        <x:f>IF(J15="","Unknown",IF(J15&lt;='Cutoff Policy'!$B$5,"Pass","After cutoff"))</x:f>
        <x:v>Pass</x:v>
      </x:c>
      <x:c r="R15" s="14" t="str">
        <x:f>IF(OR(P15="After cutoff",Q15="After cutoff"),"Exclude from baseline",IF(OR(P15="Unknown",Q15="Unknown"),"Needs date / judgment",IF(G15="Target","Target only","Pass")))</x:f>
        <x:v>Pass</x:v>
      </x:c>
      <x:c r="S15" s="14" t="str">
        <x:v>Energy charge plus demand charge at 90% load factor.</x:v>
      </x:c>
    </x:row>
    <x:row r="16">
      <x:c r="A16" s="14" t="str">
        <x:v>SRC-016</x:v>
      </x:c>
      <x:c r="B16" s="14" t="str">
        <x:v>Electricity price</x:v>
      </x:c>
      <x:c r="C16" s="14" t="str">
        <x:v>Jibei tariff proxy for Hebei</x:v>
      </x:c>
      <x:c r="D16" s="14" t="str">
        <x:v>Hebei</x:v>
      </x:c>
      <x:c r="E16" s="27" t="n">
        <x:v>0.63463</x:v>
      </x:c>
      <x:c r="F16" s="14" t="str">
        <x:v>CNY/kWh</x:v>
      </x:c>
      <x:c r="G16" s="14" t="str">
        <x:v>Derived</x:v>
      </x:c>
      <x:c r="H16" s="23" t="n">
        <x:v>45777</x:v>
      </x:c>
      <x:c r="I16" s="14" t="str">
        <x:v>Effective month end</x:v>
      </x:c>
      <x:c r="J16" s="23"/>
      <x:c r="K16" s="14" t="str">
        <x:v>Unrecorded</x:v>
      </x:c>
      <x:c r="L16" s="14" t="str">
        <x:v>State Grid Jibei / AIIT file host</x:v>
      </x:c>
      <x:c r="M16" s="14" t="str">
        <x:v>April 2025 Jibei proxy-purchase tariff</x:v>
      </x:c>
      <x:c r="N16" s="14" t="str">
        <x:v>https://ele.aiit.org.cn/static/elefile/99303281758074622710101893155890.pdf</x:v>
      </x:c>
      <x:c r="O16" s="14" t="str">
        <x:v>Yes – chart height</x:v>
      </x:c>
      <x:c r="P16" s="14" t="str">
        <x:f>IF(H16="","Unknown",IF(H16&lt;='Cutoff Policy'!$B$4,"Pass","After cutoff"))</x:f>
        <x:v>Pass</x:v>
      </x:c>
      <x:c r="Q16" s="14" t="str">
        <x:f>IF(J16="","Unknown",IF(J16&lt;='Cutoff Policy'!$B$5,"Pass","After cutoff"))</x:f>
        <x:v>Unknown</x:v>
      </x:c>
      <x:c r="R16" s="14" t="str">
        <x:f>IF(OR(P16="After cutoff",Q16="After cutoff"),"Exclude from baseline",IF(OR(P16="Unknown",Q16="Unknown"),"Needs date / judgment",IF(G16="Target","Target only","Pass")))</x:f>
        <x:v>Needs date / judgment</x:v>
      </x:c>
      <x:c r="S16" s="14" t="str">
        <x:v>Official tariff PDF; exact webpage publication date is not recorded.</x:v>
      </x:c>
    </x:row>
    <x:row r="17">
      <x:c r="A17" s="14" t="str">
        <x:v>SRC-017</x:v>
      </x:c>
      <x:c r="B17" s="14" t="str">
        <x:v>Electricity price</x:v>
      </x:c>
      <x:c r="C17" s="14" t="str">
        <x:v>Jiangsu tariff proxy</x:v>
      </x:c>
      <x:c r="D17" s="14" t="str">
        <x:v>Jiangsu</x:v>
      </x:c>
      <x:c r="E17" s="27" t="n">
        <x:v>0.66809</x:v>
      </x:c>
      <x:c r="F17" s="14" t="str">
        <x:v>CNY/kWh</x:v>
      </x:c>
      <x:c r="G17" s="14" t="str">
        <x:v>Derived</x:v>
      </x:c>
      <x:c r="H17" s="23" t="n">
        <x:v>45838</x:v>
      </x:c>
      <x:c r="I17" s="14" t="str">
        <x:v>Effective month end</x:v>
      </x:c>
      <x:c r="J17" s="23" t="n">
        <x:v>45832</x:v>
      </x:c>
      <x:c r="K17" s="14" t="str">
        <x:v>Exact</x:v>
      </x:c>
      <x:c r="L17" s="14" t="str">
        <x:v>State Grid Jiangsu / Jintan Government</x:v>
      </x:c>
      <x:c r="M17" s="14" t="str">
        <x:v>June 2025 proxy-purchase tariff</x:v>
      </x:c>
      <x:c r="N17" s="14" t="str">
        <x:v>https://www.jintan.gov.cn/html/czjt/2025/JFKEQAOD_0624/281022.html</x:v>
      </x:c>
      <x:c r="O17" s="14" t="str">
        <x:v>Yes – chart height</x:v>
      </x:c>
      <x:c r="P17" s="14" t="str">
        <x:f>IF(H17="","Unknown",IF(H17&lt;='Cutoff Policy'!$B$4,"Pass","After cutoff"))</x:f>
        <x:v>Pass</x:v>
      </x:c>
      <x:c r="Q17" s="14" t="str">
        <x:f>IF(J17="","Unknown",IF(J17&lt;='Cutoff Policy'!$B$5,"Pass","After cutoff"))</x:f>
        <x:v>Pass</x:v>
      </x:c>
      <x:c r="R17" s="14" t="str">
        <x:f>IF(OR(P17="After cutoff",Q17="After cutoff"),"Exclude from baseline",IF(OR(P17="Unknown",Q17="Unknown"),"Needs date / judgment",IF(G17="Target","Target only","Pass")))</x:f>
        <x:v>Pass</x:v>
      </x:c>
      <x:c r="S17" s="14" t="str">
        <x:v>Energy charge plus demand charge at 90% load factor.</x:v>
      </x:c>
    </x:row>
    <x:row r="18">
      <x:c r="A18" s="14" t="str">
        <x:v>SRC-018</x:v>
      </x:c>
      <x:c r="B18" s="14" t="str">
        <x:v>Electricity price</x:v>
      </x:c>
      <x:c r="C18" s="14" t="str">
        <x:v>Beijing tariff proxy</x:v>
      </x:c>
      <x:c r="D18" s="14" t="str">
        <x:v>Beijing</x:v>
      </x:c>
      <x:c r="E18" s="27" t="n">
        <x:v>0.69277</x:v>
      </x:c>
      <x:c r="F18" s="14" t="str">
        <x:v>CNY/kWh</x:v>
      </x:c>
      <x:c r="G18" s="14" t="str">
        <x:v>Derived</x:v>
      </x:c>
      <x:c r="H18" s="23" t="n">
        <x:v>45777</x:v>
      </x:c>
      <x:c r="I18" s="14" t="str">
        <x:v>Effective month end</x:v>
      </x:c>
      <x:c r="J18" s="23"/>
      <x:c r="K18" s="14" t="str">
        <x:v>Unrecorded</x:v>
      </x:c>
      <x:c r="L18" s="14" t="str">
        <x:v>State Grid Beijing / AIIT file host</x:v>
      </x:c>
      <x:c r="M18" s="14" t="str">
        <x:v>April 2025 Beijing proxy-purchase tariff</x:v>
      </x:c>
      <x:c r="N18" s="14" t="str">
        <x:v>https://ele.aiit.org.cn/static/elefile/99303281924019507384201247156397.pdf</x:v>
      </x:c>
      <x:c r="O18" s="14" t="str">
        <x:v>Yes – chart height</x:v>
      </x:c>
      <x:c r="P18" s="14" t="str">
        <x:f>IF(H18="","Unknown",IF(H18&lt;='Cutoff Policy'!$B$4,"Pass","After cutoff"))</x:f>
        <x:v>Pass</x:v>
      </x:c>
      <x:c r="Q18" s="14" t="str">
        <x:f>IF(J18="","Unknown",IF(J18&lt;='Cutoff Policy'!$B$5,"Pass","After cutoff"))</x:f>
        <x:v>Unknown</x:v>
      </x:c>
      <x:c r="R18" s="14" t="str">
        <x:f>IF(OR(P18="After cutoff",Q18="After cutoff"),"Exclude from baseline",IF(OR(P18="Unknown",Q18="Unknown"),"Needs date / judgment",IF(G18="Target","Target only","Pass")))</x:f>
        <x:v>Needs date / judgment</x:v>
      </x:c>
      <x:c r="S18" s="14" t="str">
        <x:v>Official tariff PDF; exact webpage publication date is not recorded.</x:v>
      </x:c>
    </x:row>
    <x:row r="19">
      <x:c r="A19" s="14" t="str">
        <x:v>SRC-019</x:v>
      </x:c>
      <x:c r="B19" s="14" t="str">
        <x:v>Electricity price</x:v>
      </x:c>
      <x:c r="C19" s="14" t="str">
        <x:v>Guangdong weighted tariff proxy</x:v>
      </x:c>
      <x:c r="D19" s="14" t="str">
        <x:v>Guangdong</x:v>
      </x:c>
      <x:c r="E19" s="27" t="n">
        <x:v>0.70818</x:v>
      </x:c>
      <x:c r="F19" s="14" t="str">
        <x:v>CNY/kWh</x:v>
      </x:c>
      <x:c r="G19" s="14" t="str">
        <x:v>Derived</x:v>
      </x:c>
      <x:c r="H19" s="23" t="n">
        <x:v>45777</x:v>
      </x:c>
      <x:c r="I19" s="14" t="str">
        <x:v>Effective month end</x:v>
      </x:c>
      <x:c r="J19" s="23"/>
      <x:c r="K19" s="14" t="str">
        <x:v>Unrecorded</x:v>
      </x:c>
      <x:c r="L19" s="14" t="str">
        <x:v>Guangdong Power Grid / Shaoguan Government</x:v>
      </x:c>
      <x:c r="M19" s="14" t="str">
        <x:v>April 2025 Guangdong proxy-purchase tariff</x:v>
      </x:c>
      <x:c r="N19" s="14" t="str">
        <x:v>https://www.gdsx.gov.cn/sgsxgdj/attachment/0/272/272080/2734391.pdf</x:v>
      </x:c>
      <x:c r="O19" s="14" t="str">
        <x:v>Yes – chart height</x:v>
      </x:c>
      <x:c r="P19" s="14" t="str">
        <x:f>IF(H19="","Unknown",IF(H19&lt;='Cutoff Policy'!$B$4,"Pass","After cutoff"))</x:f>
        <x:v>Pass</x:v>
      </x:c>
      <x:c r="Q19" s="14" t="str">
        <x:f>IF(J19="","Unknown",IF(J19&lt;='Cutoff Policy'!$B$5,"Pass","After cutoff"))</x:f>
        <x:v>Unknown</x:v>
      </x:c>
      <x:c r="R19" s="14" t="str">
        <x:f>IF(OR(P19="After cutoff",Q19="After cutoff"),"Exclude from baseline",IF(OR(P19="Unknown",Q19="Unknown"),"Needs date / judgment",IF(G19="Target","Target only","Pass")))</x:f>
        <x:v>Needs date / judgment</x:v>
      </x:c>
      <x:c r="S19" s="14" t="str">
        <x:v>Weighted between northern Guangdong and Pearl River Delta proxies.</x:v>
      </x:c>
    </x:row>
    <x:row r="20">
      <x:c r="A20" s="14" t="str">
        <x:v>SRC-020</x:v>
      </x:c>
      <x:c r="B20" s="14" t="str">
        <x:v>Electricity price</x:v>
      </x:c>
      <x:c r="C20" s="14" t="str">
        <x:v>Shandong tariff proxy</x:v>
      </x:c>
      <x:c r="D20" s="14" t="str">
        <x:v>Shandong</x:v>
      </x:c>
      <x:c r="E20" s="27" t="n">
        <x:v>0.72845</x:v>
      </x:c>
      <x:c r="F20" s="14" t="str">
        <x:v>CNY/kWh</x:v>
      </x:c>
      <x:c r="G20" s="14" t="str">
        <x:v>Derived</x:v>
      </x:c>
      <x:c r="H20" s="23" t="n">
        <x:v>45747</x:v>
      </x:c>
      <x:c r="I20" s="14" t="str">
        <x:v>Effective month end</x:v>
      </x:c>
      <x:c r="J20" s="23" t="n">
        <x:v>45736</x:v>
      </x:c>
      <x:c r="K20" s="14" t="str">
        <x:v>Page date</x:v>
      </x:c>
      <x:c r="L20" s="14" t="str">
        <x:v>State Grid Shandong / Yantai Government</x:v>
      </x:c>
      <x:c r="M20" s="14" t="str">
        <x:v>March 2025 proxy-purchase tariff</x:v>
      </x:c>
      <x:c r="N20" s="14" t="str">
        <x:v>https://www.yantai.gov.cn/art/2025/3/20/art_70253_3244147.html</x:v>
      </x:c>
      <x:c r="O20" s="14" t="str">
        <x:v>Yes – chart height</x:v>
      </x:c>
      <x:c r="P20" s="14" t="str">
        <x:f>IF(H20="","Unknown",IF(H20&lt;='Cutoff Policy'!$B$4,"Pass","After cutoff"))</x:f>
        <x:v>Pass</x:v>
      </x:c>
      <x:c r="Q20" s="14" t="str">
        <x:f>IF(J20="","Unknown",IF(J20&lt;='Cutoff Policy'!$B$5,"Pass","After cutoff"))</x:f>
        <x:v>Pass</x:v>
      </x:c>
      <x:c r="R20" s="14" t="str">
        <x:f>IF(OR(P20="After cutoff",Q20="After cutoff"),"Exclude from baseline",IF(OR(P20="Unknown",Q20="Unknown"),"Needs date / judgment",IF(G20="Target","Target only","Pass")))</x:f>
        <x:v>Pass</x:v>
      </x:c>
      <x:c r="S20" s="14" t="str">
        <x:v>Energy charge plus demand charge at 90% load factor.</x:v>
      </x:c>
    </x:row>
    <x:row r="21">
      <x:c r="A21" s="14" t="str">
        <x:v>SRC-021</x:v>
      </x:c>
      <x:c r="B21" s="14" t="str">
        <x:v>Electricity price</x:v>
      </x:c>
      <x:c r="C21" s="14" t="str">
        <x:v>Shanghai tariff proxy</x:v>
      </x:c>
      <x:c r="D21" s="14" t="str">
        <x:v>Shanghai</x:v>
      </x:c>
      <x:c r="E21" s="27" t="n">
        <x:v>0.7484</x:v>
      </x:c>
      <x:c r="F21" s="14" t="str">
        <x:v>CNY/kWh</x:v>
      </x:c>
      <x:c r="G21" s="14" t="str">
        <x:v>Derived</x:v>
      </x:c>
      <x:c r="H21" s="23" t="n">
        <x:v>45838</x:v>
      </x:c>
      <x:c r="I21" s="14" t="str">
        <x:v>Claimed effective month end</x:v>
      </x:c>
      <x:c r="J21" s="23"/>
      <x:c r="K21" s="14" t="str">
        <x:v>Unrecorded / source mismatch</x:v>
      </x:c>
      <x:c r="L21" s="14" t="str">
        <x:v>Shanghai Municipal Government</x:v>
      </x:c>
      <x:c r="M21" s="14" t="str">
        <x:v>Linked electricity-policy PDF</x:v>
      </x:c>
      <x:c r="N21" s="14" t="str">
        <x:v>https://www.shanghai.gov.cn/cmsres/8d/8dbc9d8c392e43b791295f493f1d247e/5b1658885ab19ab927050e05dfbb83f9.pdf</x:v>
      </x:c>
      <x:c r="O21" s="14" t="str">
        <x:v>Yes – chart height</x:v>
      </x:c>
      <x:c r="P21" s="14" t="str">
        <x:f>IF(H21="","Unknown",IF(H21&lt;='Cutoff Policy'!$B$4,"Pass","After cutoff"))</x:f>
        <x:v>Pass</x:v>
      </x:c>
      <x:c r="Q21" s="14" t="str">
        <x:f>IF(J21="","Unknown",IF(J21&lt;='Cutoff Policy'!$B$5,"Pass","After cutoff"))</x:f>
        <x:v>Unknown</x:v>
      </x:c>
      <x:c r="R21" s="14" t="str">
        <x:f>IF(OR(P21="After cutoff",Q21="After cutoff"),"Exclude from baseline",IF(OR(P21="Unknown",Q21="Unknown"),"Needs date / judgment",IF(G21="Target","Target only","Pass")))</x:f>
        <x:v>Needs date / judgment</x:v>
      </x:c>
      <x:c r="S21" s="14" t="str">
        <x:v>Needs replacement: linked document does not clearly establish the claimed June 2025 proxy.</x:v>
      </x:c>
    </x:row>
    <x:row r="22">
      <x:c r="A22" s="14" t="str">
        <x:v>SRC-022</x:v>
      </x:c>
      <x:c r="B22" s="14" t="str">
        <x:v>Electricity price</x:v>
      </x:c>
      <x:c r="C22" s="14" t="str">
        <x:v>Quebec Rate L effective price</x:v>
      </x:c>
      <x:c r="D22" s="14" t="str">
        <x:v>Quebec</x:v>
      </x:c>
      <x:c r="E22" s="27" t="n">
        <x:v>0.05246</x:v>
      </x:c>
      <x:c r="F22" s="14" t="str">
        <x:v>CAD/kWh</x:v>
      </x:c>
      <x:c r="G22" s="14" t="str">
        <x:v>Derived from tariff</x:v>
      </x:c>
      <x:c r="H22" s="23" t="n">
        <x:v>46022</x:v>
      </x:c>
      <x:c r="I22" s="14" t="str">
        <x:v>2025 rate year</x:v>
      </x:c>
      <x:c r="J22" s="23"/>
      <x:c r="K22" s="14" t="str">
        <x:v>Unrecorded</x:v>
      </x:c>
      <x:c r="L22" s="14" t="str">
        <x:v>Hydro-Québec</x:v>
      </x:c>
      <x:c r="M22" s="14" t="str">
        <x:v>Rate chart 2025</x:v>
      </x:c>
      <x:c r="N22" s="14" t="str">
        <x:v>https://www.hydroquebec.com/data/documents-donnees/pdf/rates-chart-2025.pdf</x:v>
      </x:c>
      <x:c r="O22" s="14" t="str">
        <x:v>Yes – chart height</x:v>
      </x:c>
      <x:c r="P22" s="14" t="str">
        <x:f>IF(H22="","Unknown",IF(H22&lt;='Cutoff Policy'!$B$4,"Pass","After cutoff"))</x:f>
        <x:v>Pass</x:v>
      </x:c>
      <x:c r="Q22" s="14" t="str">
        <x:f>IF(J22="","Unknown",IF(J22&lt;='Cutoff Policy'!$B$5,"Pass","After cutoff"))</x:f>
        <x:v>Unknown</x:v>
      </x:c>
      <x:c r="R22" s="14" t="str">
        <x:f>IF(OR(P22="After cutoff",Q22="After cutoff"),"Exclude from baseline",IF(OR(P22="Unknown",Q22="Unknown"),"Needs date / judgment",IF(G22="Target","Target only","Pass")))</x:f>
        <x:v>Needs date / judgment</x:v>
      </x:c>
      <x:c r="S22" s="14" t="str">
        <x:v>Effective price at 120 kV and 100% load factor.</x:v>
      </x:c>
    </x:row>
    <x:row r="23">
      <x:c r="A23" s="14" t="str">
        <x:v>SRC-023</x:v>
      </x:c>
      <x:c r="B23" s="14" t="str">
        <x:v>Electricity price</x:v>
      </x:c>
      <x:c r="C23" s="14" t="str">
        <x:v>Saudi cloud-computing tariff</x:v>
      </x:c>
      <x:c r="D23" s="14" t="str">
        <x:v>Saudi Arabia</x:v>
      </x:c>
      <x:c r="E23" s="27" t="n">
        <x:v>0.18</x:v>
      </x:c>
      <x:c r="F23" s="14" t="str">
        <x:v>SAR/kWh</x:v>
      </x:c>
      <x:c r="G23" s="14" t="str">
        <x:v>Regulated</x:v>
      </x:c>
      <x:c r="H23" s="23"/>
      <x:c r="I23" s="14" t="str">
        <x:v>Current / no effective date</x:v>
      </x:c>
      <x:c r="J23" s="23"/>
      <x:c r="K23" s="14" t="str">
        <x:v>Undated webpage</x:v>
      </x:c>
      <x:c r="L23" s="14" t="str">
        <x:v>Saudi Electricity Regulatory Authority</x:v>
      </x:c>
      <x:c r="M23" s="14" t="str">
        <x:v>Electric tariff categories</x:v>
      </x:c>
      <x:c r="N23" s="14" t="str">
        <x:v>https://sera.gov.sa/en/consumer/electric-tariff/electric-tariff-categories/consumption-tariff</x:v>
      </x:c>
      <x:c r="O23" s="14" t="str">
        <x:v>Yes – chart height</x:v>
      </x:c>
      <x:c r="P23" s="14" t="str">
        <x:f>IF(H23="","Unknown",IF(H23&lt;='Cutoff Policy'!$B$4,"Pass","After cutoff"))</x:f>
        <x:v>Unknown</x:v>
      </x:c>
      <x:c r="Q23" s="14" t="str">
        <x:f>IF(J23="","Unknown",IF(J23&lt;='Cutoff Policy'!$B$5,"Pass","After cutoff"))</x:f>
        <x:v>Unknown</x:v>
      </x:c>
      <x:c r="R23" s="14" t="str">
        <x:f>IF(OR(P23="After cutoff",Q23="After cutoff"),"Exclude from baseline",IF(OR(P23="Unknown",Q23="Unknown"),"Needs date / judgment",IF(G23="Target","Target only","Pass")))</x:f>
        <x:v>Needs date / judgment</x:v>
      </x:c>
      <x:c r="S23" s="14" t="str">
        <x:v>Current webpage is undated; archival effective date is still needed.</x:v>
      </x:c>
    </x:row>
    <x:row r="24">
      <x:c r="A24" s="14" t="str">
        <x:v>SRC-024</x:v>
      </x:c>
      <x:c r="B24" s="14" t="str">
        <x:v>Electricity price</x:v>
      </x:c>
      <x:c r="C24" s="14" t="str">
        <x:v>Texas industrial average</x:v>
      </x:c>
      <x:c r="D24" s="14" t="str">
        <x:v>Texas</x:v>
      </x:c>
      <x:c r="E24" s="27" t="n">
        <x:v>0.0612</x:v>
      </x:c>
      <x:c r="F24" s="14" t="str">
        <x:v>USD/kWh</x:v>
      </x:c>
      <x:c r="G24" s="14" t="str">
        <x:v>Reported average</x:v>
      </x:c>
      <x:c r="H24" s="23" t="n">
        <x:v>45657</x:v>
      </x:c>
      <x:c r="I24" s="14" t="str">
        <x:v>Calendar year end</x:v>
      </x:c>
      <x:c r="J24" s="23"/>
      <x:c r="K24" s="14" t="str">
        <x:v>Release day unrecorded</x:v>
      </x:c>
      <x:c r="L24" s="14" t="str">
        <x:v>U.S. Energy Information Administration</x:v>
      </x:c>
      <x:c r="M24" s="14" t="str">
        <x:v>Electric Power Annual table 2.10</x:v>
      </x:c>
      <x:c r="N24" s="14" t="str">
        <x:v>https://www.eia.gov/electricity/annual/table.php?t=epa_02_10.html</x:v>
      </x:c>
      <x:c r="O24" s="14" t="str">
        <x:v>Yes – chart height</x:v>
      </x:c>
      <x:c r="P24" s="14" t="str">
        <x:f>IF(H24="","Unknown",IF(H24&lt;='Cutoff Policy'!$B$4,"Pass","After cutoff"))</x:f>
        <x:v>Pass</x:v>
      </x:c>
      <x:c r="Q24" s="14" t="str">
        <x:f>IF(J24="","Unknown",IF(J24&lt;='Cutoff Policy'!$B$5,"Pass","After cutoff"))</x:f>
        <x:v>Unknown</x:v>
      </x:c>
      <x:c r="R24" s="14" t="str">
        <x:f>IF(OR(P24="After cutoff",Q24="After cutoff"),"Exclude from baseline",IF(OR(P24="Unknown",Q24="Unknown"),"Needs date / judgment",IF(G24="Target","Target only","Pass")))</x:f>
        <x:v>Needs date / judgment</x:v>
      </x:c>
      <x:c r="S24" s="14" t="str">
        <x:v>State industrial average, not a hyperscale contract price.</x:v>
      </x:c>
    </x:row>
    <x:row r="25">
      <x:c r="A25" s="14" t="str">
        <x:v>SRC-025</x:v>
      </x:c>
      <x:c r="B25" s="14" t="str">
        <x:v>Electricity price</x:v>
      </x:c>
      <x:c r="C25" s="14" t="str">
        <x:v>Virginia industrial average</x:v>
      </x:c>
      <x:c r="D25" s="14" t="str">
        <x:v>Virginia</x:v>
      </x:c>
      <x:c r="E25" s="27" t="n">
        <x:v>0.0899</x:v>
      </x:c>
      <x:c r="F25" s="14" t="str">
        <x:v>USD/kWh</x:v>
      </x:c>
      <x:c r="G25" s="14" t="str">
        <x:v>Reported average</x:v>
      </x:c>
      <x:c r="H25" s="23" t="n">
        <x:v>45657</x:v>
      </x:c>
      <x:c r="I25" s="14" t="str">
        <x:v>Calendar year end</x:v>
      </x:c>
      <x:c r="J25" s="23"/>
      <x:c r="K25" s="14" t="str">
        <x:v>Release day unrecorded</x:v>
      </x:c>
      <x:c r="L25" s="14" t="str">
        <x:v>U.S. Energy Information Administration</x:v>
      </x:c>
      <x:c r="M25" s="14" t="str">
        <x:v>Electric Power Annual table 2.10</x:v>
      </x:c>
      <x:c r="N25" s="14" t="str">
        <x:v>https://www.eia.gov/electricity/annual/table.php?t=epa_02_10.html</x:v>
      </x:c>
      <x:c r="O25" s="14" t="str">
        <x:v>Yes – chart height</x:v>
      </x:c>
      <x:c r="P25" s="14" t="str">
        <x:f>IF(H25="","Unknown",IF(H25&lt;='Cutoff Policy'!$B$4,"Pass","After cutoff"))</x:f>
        <x:v>Pass</x:v>
      </x:c>
      <x:c r="Q25" s="14" t="str">
        <x:f>IF(J25="","Unknown",IF(J25&lt;='Cutoff Policy'!$B$5,"Pass","After cutoff"))</x:f>
        <x:v>Unknown</x:v>
      </x:c>
      <x:c r="R25" s="14" t="str">
        <x:f>IF(OR(P25="After cutoff",Q25="After cutoff"),"Exclude from baseline",IF(OR(P25="Unknown",Q25="Unknown"),"Needs date / judgment",IF(G25="Target","Target only","Pass")))</x:f>
        <x:v>Needs date / judgment</x:v>
      </x:c>
      <x:c r="S25" s="14" t="str">
        <x:v>State industrial average, not a hyperscale contract price.</x:v>
      </x:c>
    </x:row>
    <x:row r="26">
      <x:c r="A26" s="14" t="str">
        <x:v>SRC-030</x:v>
      </x:c>
      <x:c r="B26" s="14" t="str">
        <x:v>Exchange rate</x:v>
      </x:c>
      <x:c r="C26" s="14" t="str">
        <x:v>2025 annual average CNY per USD</x:v>
      </x:c>
      <x:c r="D26" s="14" t="str">
        <x:v>China</x:v>
      </x:c>
      <x:c r="E26" s="27" t="n">
        <x:v>7.1875</x:v>
      </x:c>
      <x:c r="F26" s="14" t="str">
        <x:v>CNY/USD</x:v>
      </x:c>
      <x:c r="G26" s="14" t="str">
        <x:v>Reported average</x:v>
      </x:c>
      <x:c r="H26" s="23" t="n">
        <x:v>46022</x:v>
      </x:c>
      <x:c r="I26" s="14" t="str">
        <x:v>Calendar year end</x:v>
      </x:c>
      <x:c r="J26" s="23"/>
      <x:c r="K26" s="14" t="str">
        <x:v>Release month: 2026-01</x:v>
      </x:c>
      <x:c r="L26" s="14" t="str">
        <x:v>U.S. Federal Reserve</x:v>
      </x:c>
      <x:c r="M26" s="14" t="str">
        <x:v>G.5A annual foreign-exchange rates</x:v>
      </x:c>
      <x:c r="N26" s="14" t="str">
        <x:v>https://www.federalreserve.gov/releases/g5a/current/default.htm</x:v>
      </x:c>
      <x:c r="O26" s="14" t="str">
        <x:v>Yes – conversion</x:v>
      </x:c>
      <x:c r="P26" s="14" t="str">
        <x:f>IF(H26="","Unknown",IF(H26&lt;='Cutoff Policy'!$B$4,"Pass","After cutoff"))</x:f>
        <x:v>Pass</x:v>
      </x:c>
      <x:c r="Q26" s="14" t="str">
        <x:f>IF(J26="","Unknown",IF(J26&lt;='Cutoff Policy'!$B$5,"Pass","After cutoff"))</x:f>
        <x:v>Unknown</x:v>
      </x:c>
      <x:c r="R26" s="14" t="str">
        <x:f>IF(OR(P26="After cutoff",Q26="After cutoff"),"Exclude from baseline",IF(OR(P26="Unknown",Q26="Unknown"),"Needs date / judgment",IF(G26="Target","Target only","Pass")))</x:f>
        <x:v>Needs date / judgment</x:v>
      </x:c>
      <x:c r="S26" s="14" t="str">
        <x:v>Used for all China chart rows.</x:v>
      </x:c>
    </x:row>
    <x:row r="27">
      <x:c r="A27" s="14" t="str">
        <x:v>SRC-031</x:v>
      </x:c>
      <x:c r="B27" s="14" t="str">
        <x:v>Exchange rate</x:v>
      </x:c>
      <x:c r="C27" s="14" t="str">
        <x:v>2025 annual average CAD per USD</x:v>
      </x:c>
      <x:c r="D27" s="14" t="str">
        <x:v>Canada</x:v>
      </x:c>
      <x:c r="E27" s="27" t="n">
        <x:v>1.3973</x:v>
      </x:c>
      <x:c r="F27" s="14" t="str">
        <x:v>CAD/USD</x:v>
      </x:c>
      <x:c r="G27" s="14" t="str">
        <x:v>Reported average</x:v>
      </x:c>
      <x:c r="H27" s="23" t="n">
        <x:v>46022</x:v>
      </x:c>
      <x:c r="I27" s="14" t="str">
        <x:v>Calendar year end</x:v>
      </x:c>
      <x:c r="J27" s="23"/>
      <x:c r="K27" s="14" t="str">
        <x:v>Release month: 2026-01</x:v>
      </x:c>
      <x:c r="L27" s="14" t="str">
        <x:v>U.S. Federal Reserve</x:v>
      </x:c>
      <x:c r="M27" s="14" t="str">
        <x:v>G.5A annual foreign-exchange rates</x:v>
      </x:c>
      <x:c r="N27" s="14" t="str">
        <x:v>https://www.federalreserve.gov/releases/g5a/current/default.htm</x:v>
      </x:c>
      <x:c r="O27" s="14" t="str">
        <x:v>Yes – conversion</x:v>
      </x:c>
      <x:c r="P27" s="14" t="str">
        <x:f>IF(H27="","Unknown",IF(H27&lt;='Cutoff Policy'!$B$4,"Pass","After cutoff"))</x:f>
        <x:v>Pass</x:v>
      </x:c>
      <x:c r="Q27" s="14" t="str">
        <x:f>IF(J27="","Unknown",IF(J27&lt;='Cutoff Policy'!$B$5,"Pass","After cutoff"))</x:f>
        <x:v>Unknown</x:v>
      </x:c>
      <x:c r="R27" s="14" t="str">
        <x:f>IF(OR(P27="After cutoff",Q27="After cutoff"),"Exclude from baseline",IF(OR(P27="Unknown",Q27="Unknown"),"Needs date / judgment",IF(G27="Target","Target only","Pass")))</x:f>
        <x:v>Needs date / judgment</x:v>
      </x:c>
      <x:c r="S27" s="14" t="str">
        <x:v>Used for Montreal.</x:v>
      </x:c>
    </x:row>
    <x:row r="28">
      <x:c r="A28" s="14" t="str">
        <x:v>SRC-032</x:v>
      </x:c>
      <x:c r="B28" s="14" t="str">
        <x:v>Exchange rate</x:v>
      </x:c>
      <x:c r="C28" s="14" t="str">
        <x:v>Official Saudi riyal peg</x:v>
      </x:c>
      <x:c r="D28" s="14" t="str">
        <x:v>Saudi Arabia</x:v>
      </x:c>
      <x:c r="E28" s="27" t="n">
        <x:v>3.75</x:v>
      </x:c>
      <x:c r="F28" s="14" t="str">
        <x:v>SAR/USD</x:v>
      </x:c>
      <x:c r="G28" s="14" t="str">
        <x:v>Official parity</x:v>
      </x:c>
      <x:c r="H28" s="23"/>
      <x:c r="I28" s="14" t="str">
        <x:v>Current / no date</x:v>
      </x:c>
      <x:c r="J28" s="23"/>
      <x:c r="K28" s="14" t="str">
        <x:v>Undated webpage</x:v>
      </x:c>
      <x:c r="L28" s="14" t="str">
        <x:v>Saudi Central Bank</x:v>
      </x:c>
      <x:c r="M28" s="14" t="str">
        <x:v>Currency information</x:v>
      </x:c>
      <x:c r="N28" s="14" t="str">
        <x:v>https://sama.gov.sa/en-US/Currency/FinExc/Pages/Currency.aspx</x:v>
      </x:c>
      <x:c r="O28" s="14" t="str">
        <x:v>Yes – conversion</x:v>
      </x:c>
      <x:c r="P28" s="14" t="str">
        <x:f>IF(H28="","Unknown",IF(H28&lt;='Cutoff Policy'!$B$4,"Pass","After cutoff"))</x:f>
        <x:v>Unknown</x:v>
      </x:c>
      <x:c r="Q28" s="14" t="str">
        <x:f>IF(J28="","Unknown",IF(J28&lt;='Cutoff Policy'!$B$5,"Pass","After cutoff"))</x:f>
        <x:v>Unknown</x:v>
      </x:c>
      <x:c r="R28" s="14" t="str">
        <x:f>IF(OR(P28="After cutoff",Q28="After cutoff"),"Exclude from baseline",IF(OR(P28="Unknown",Q28="Unknown"),"Needs date / judgment",IF(G28="Target","Target only","Pass")))</x:f>
        <x:v>Needs date / judgment</x:v>
      </x:c>
      <x:c r="S28" s="14" t="str">
        <x:v>Fixed official parity; publication date is not stated.</x:v>
      </x:c>
    </x:row>
    <x:row r="29">
      <x:c r="A29" s="14" t="str">
        <x:v>SRC-040</x:v>
      </x:c>
      <x:c r="B29" s="14" t="str">
        <x:v>Compute assumption</x:v>
      </x:c>
      <x:c r="C29" s="14" t="str">
        <x:v>GB200 NVL72 dense BF16 performance</x:v>
      </x:c>
      <x:c r="D29" s="14" t="str">
        <x:v>Global common hardware</x:v>
      </x:c>
      <x:c r="E29" s="27" t="n">
        <x:v>180</x:v>
      </x:c>
      <x:c r="F29" s="14" t="str">
        <x:v>PFLOP/s</x:v>
      </x:c>
      <x:c r="G29" s="14" t="str">
        <x:v>Vendor peak</x:v>
      </x:c>
      <x:c r="H29" s="23"/>
      <x:c r="I29" s="14" t="str">
        <x:v>Undated specification</x:v>
      </x:c>
      <x:c r="J29" s="23"/>
      <x:c r="K29" s="14" t="str">
        <x:v>Undated webpage</x:v>
      </x:c>
      <x:c r="L29" s="14" t="str">
        <x:v>NVIDIA</x:v>
      </x:c>
      <x:c r="M29" s="14" t="str">
        <x:v>GB200 NVL72 specifications</x:v>
      </x:c>
      <x:c r="N29" s="14" t="str">
        <x:v>https://www.nvidia.com/en-us/data-center/gb200-nvl72/</x:v>
      </x:c>
      <x:c r="O29" s="14" t="str">
        <x:v>Yes – formula</x:v>
      </x:c>
      <x:c r="P29" s="14" t="str">
        <x:f>IF(H29="","Unknown",IF(H29&lt;='Cutoff Policy'!$B$4,"Pass","After cutoff"))</x:f>
        <x:v>Unknown</x:v>
      </x:c>
      <x:c r="Q29" s="14" t="str">
        <x:f>IF(J29="","Unknown",IF(J29&lt;='Cutoff Policy'!$B$5,"Pass","After cutoff"))</x:f>
        <x:v>Unknown</x:v>
      </x:c>
      <x:c r="R29" s="14" t="str">
        <x:f>IF(OR(P29="After cutoff",Q29="After cutoff"),"Exclude from baseline",IF(OR(P29="Unknown",Q29="Unknown"),"Needs date / judgment",IF(G29="Target","Target only","Pass")))</x:f>
        <x:v>Needs date / judgment</x:v>
      </x:c>
      <x:c r="S29" s="14" t="str">
        <x:v>Dense figure is half of the listed sparse BF16 value.</x:v>
      </x:c>
    </x:row>
    <x:row r="30">
      <x:c r="A30" s="14" t="str">
        <x:v>SRC-041</x:v>
      </x:c>
      <x:c r="B30" s="14" t="str">
        <x:v>Compute assumption</x:v>
      </x:c>
      <x:c r="C30" s="14" t="str">
        <x:v>GB200 NVL72 full-rack load</x:v>
      </x:c>
      <x:c r="D30" s="14" t="str">
        <x:v>Global common hardware</x:v>
      </x:c>
      <x:c r="E30" s="27" t="n">
        <x:v>120</x:v>
      </x:c>
      <x:c r="F30" s="14" t="str">
        <x:v>kW</x:v>
      </x:c>
      <x:c r="G30" s="14" t="str">
        <x:v>Power budget</x:v>
      </x:c>
      <x:c r="H30" s="23"/>
      <x:c r="I30" s="14" t="str">
        <x:v>Undated documentation</x:v>
      </x:c>
      <x:c r="J30" s="23"/>
      <x:c r="K30" s="14" t="str">
        <x:v>Undated documentation</x:v>
      </x:c>
      <x:c r="L30" s="14" t="str">
        <x:v>NVIDIA</x:v>
      </x:c>
      <x:c r="M30" s="14" t="str">
        <x:v>Mission Control system FAQ</x:v>
      </x:c>
      <x:c r="N30" s="14" t="str">
        <x:v>https://docs.nvidia.com/mission-control/docs/systems-administration-guide/2.1.0/prs/faq.html</x:v>
      </x:c>
      <x:c r="O30" s="14" t="str">
        <x:v>Yes – formula</x:v>
      </x:c>
      <x:c r="P30" s="14" t="str">
        <x:f>IF(H30="","Unknown",IF(H30&lt;='Cutoff Policy'!$B$4,"Pass","After cutoff"))</x:f>
        <x:v>Unknown</x:v>
      </x:c>
      <x:c r="Q30" s="14" t="str">
        <x:f>IF(J30="","Unknown",IF(J30&lt;='Cutoff Policy'!$B$5,"Pass","After cutoff"))</x:f>
        <x:v>Unknown</x:v>
      </x:c>
      <x:c r="R30" s="14" t="str">
        <x:f>IF(OR(P30="After cutoff",Q30="After cutoff"),"Exclude from baseline",IF(OR(P30="Unknown",Q30="Unknown"),"Needs date / judgment",IF(G30="Target","Target only","Pass")))</x:f>
        <x:v>Needs date / judgment</x:v>
      </x:c>
      <x:c r="S30" s="14" t="str">
        <x:v>Full-load rack power including rack components; not a workload-metered result.</x:v>
      </x:c>
    </x:row>
    <x:row r="31">
      <x:c r="A31" s="14" t="str">
        <x:v>SRC-042</x:v>
      </x:c>
      <x:c r="B31" s="14" t="str">
        <x:v>Compute assumption</x:v>
      </x:c>
      <x:c r="C31" s="14" t="str">
        <x:v>Common PUE</x:v>
      </x:c>
      <x:c r="D31" s="14" t="str">
        <x:v>All chart regions</x:v>
      </x:c>
      <x:c r="E31" s="27" t="n">
        <x:v>1.2</x:v>
      </x:c>
      <x:c r="F31" s="14" t="str">
        <x:v>ratio</x:v>
      </x:c>
      <x:c r="G31" s="14" t="str">
        <x:v>Analytical assumption</x:v>
      </x:c>
      <x:c r="H31" s="23"/>
      <x:c r="I31" s="14" t="str">
        <x:v>Not applicable</x:v>
      </x:c>
      <x:c r="J31" s="23"/>
      <x:c r="K31" s="14" t="str">
        <x:v>Not applicable</x:v>
      </x:c>
      <x:c r="L31" s="14" t="str">
        <x:v>Project assumption</x:v>
      </x:c>
      <x:c r="M31" s="14" t="str">
        <x:v>Common-PUE counterfactual</x:v>
      </x:c>
      <x:c r="N31" s="14" t="str"/>
      <x:c r="O31" s="14" t="str">
        <x:v>Yes – formula</x:v>
      </x:c>
      <x:c r="P31" s="14" t="str">
        <x:f>IF(H31="","Unknown",IF(H31&lt;='Cutoff Policy'!$B$4,"Pass","After cutoff"))</x:f>
        <x:v>Unknown</x:v>
      </x:c>
      <x:c r="Q31" s="14" t="str">
        <x:f>IF(J31="","Unknown",IF(J31&lt;='Cutoff Policy'!$B$5,"Pass","After cutoff"))</x:f>
        <x:v>Unknown</x:v>
      </x:c>
      <x:c r="R31" s="14" t="str">
        <x:f>IF(OR(P31="After cutoff",Q31="After cutoff"),"Exclude from baseline",IF(OR(P31="Unknown",Q31="Unknown"),"Needs date / judgment",IF(G31="Target","Target only","Pass")))</x:f>
        <x:v>Needs date / judgment</x:v>
      </x:c>
      <x:c r="S31" s="14" t="str">
        <x:v>Not an observed fact. Holding PUE fixed isolates electricity-price differences.</x:v>
      </x:c>
    </x:row>
    <x:row r="32">
      <x:c r="A32" s="14" t="str">
        <x:v>X-001</x:v>
      </x:c>
      <x:c r="B32" s="14" t="str">
        <x:v>Capacity cross-check</x:v>
      </x:c>
      <x:c r="C32" s="14" t="str">
        <x:v>Hebei in-use standard racks</x:v>
      </x:c>
      <x:c r="D32" s="14" t="str">
        <x:v>Hebei</x:v>
      </x:c>
      <x:c r="E32" s="27" t="n">
        <x:v>1620000</x:v>
      </x:c>
      <x:c r="F32" s="14" t="str">
        <x:v>standard racks</x:v>
      </x:c>
      <x:c r="G32" s="14" t="str">
        <x:v>Reported</x:v>
      </x:c>
      <x:c r="H32" s="23" t="n">
        <x:v>45838</x:v>
      </x:c>
      <x:c r="I32" s="14" t="str">
        <x:v>Exact day</x:v>
      </x:c>
      <x:c r="J32" s="23" t="n">
        <x:v>45952</x:v>
      </x:c>
      <x:c r="K32" s="14" t="str">
        <x:v>Exact</x:v>
      </x:c>
      <x:c r="L32" s="14" t="str">
        <x:v>Hebei Government / Langfang Government</x:v>
      </x:c>
      <x:c r="M32" s="14" t="str">
        <x:v>Hebei data-centre update</x:v>
      </x:c>
      <x:c r="N32" s="14" t="str">
        <x:v>https://www.lf.gov.cn/Item/150802.aspx</x:v>
      </x:c>
      <x:c r="O32" s="14" t="str">
        <x:v>No – cross-check</x:v>
      </x:c>
      <x:c r="P32" s="14" t="str">
        <x:f>IF(H32="","Unknown",IF(H32&lt;='Cutoff Policy'!$B$4,"Pass","After cutoff"))</x:f>
        <x:v>Pass</x:v>
      </x:c>
      <x:c r="Q32" s="14" t="str">
        <x:f>IF(J32="","Unknown",IF(J32&lt;='Cutoff Policy'!$B$5,"Pass","After cutoff"))</x:f>
        <x:v>Pass</x:v>
      </x:c>
      <x:c r="R32" s="14" t="str">
        <x:f>IF(OR(P32="After cutoff",Q32="After cutoff"),"Exclude from baseline",IF(OR(P32="Unknown",Q32="Unknown"),"Needs date / judgment",IF(G32="Target","Target only","Pass")))</x:f>
        <x:v>Pass</x:v>
      </x:c>
      <x:c r="S32" s="14" t="str">
        <x:v>Direct later observation; not substituted because the baseline provincial series uses a common March boundary.</x:v>
      </x:c>
    </x:row>
    <x:row r="33">
      <x:c r="A33" s="14" t="str">
        <x:v>X-002</x:v>
      </x:c>
      <x:c r="B33" s="14" t="str">
        <x:v>Capacity cross-check</x:v>
      </x:c>
      <x:c r="C33" s="14" t="str">
        <x:v>Shanghai total standard-rack capacity</x:v>
      </x:c>
      <x:c r="D33" s="14" t="str">
        <x:v>Shanghai</x:v>
      </x:c>
      <x:c r="E33" s="27" t="n">
        <x:v>644000</x:v>
      </x:c>
      <x:c r="F33" s="14" t="str">
        <x:v>standard racks</x:v>
      </x:c>
      <x:c r="G33" s="14" t="str">
        <x:v>Reported</x:v>
      </x:c>
      <x:c r="H33" s="23" t="n">
        <x:v>45838</x:v>
      </x:c>
      <x:c r="I33" s="14" t="str">
        <x:v>Exact day</x:v>
      </x:c>
      <x:c r="J33" s="23" t="n">
        <x:v>46009</x:v>
      </x:c>
      <x:c r="K33" s="14" t="str">
        <x:v>Exact</x:v>
      </x:c>
      <x:c r="L33" s="14" t="str">
        <x:v>People's Daily Shanghai</x:v>
      </x:c>
      <x:c r="M33" s="14" t="str">
        <x:v>Shanghai computing-infrastructure update</x:v>
      </x:c>
      <x:c r="N33" s="14" t="str">
        <x:v>https://sh.people.com.cn/BIG5/n2/2025/1218/c134768-41446369.html</x:v>
      </x:c>
      <x:c r="O33" s="14" t="str">
        <x:v>No – cross-check</x:v>
      </x:c>
      <x:c r="P33" s="14" t="str">
        <x:f>IF(H33="","Unknown",IF(H33&lt;='Cutoff Policy'!$B$4,"Pass","After cutoff"))</x:f>
        <x:v>Pass</x:v>
      </x:c>
      <x:c r="Q33" s="14" t="str">
        <x:f>IF(J33="","Unknown",IF(J33&lt;='Cutoff Policy'!$B$5,"Pass","After cutoff"))</x:f>
        <x:v>Pass</x:v>
      </x:c>
      <x:c r="R33" s="14" t="str">
        <x:f>IF(OR(P33="After cutoff",Q33="After cutoff"),"Exclude from baseline",IF(OR(P33="Unknown",Q33="Unknown"),"Needs date / judgment",IF(G33="Target","Target only","Pass")))</x:f>
        <x:v>Pass</x:v>
      </x:c>
      <x:c r="S33" s="14" t="str">
        <x:v>Total capacity boundary; may not equal CAICT in-use design racks.</x:v>
      </x:c>
    </x:row>
    <x:row r="34">
      <x:c r="A34" s="14" t="str">
        <x:v>X-003</x:v>
      </x:c>
      <x:c r="B34" s="14" t="str">
        <x:v>Capacity cross-check</x:v>
      </x:c>
      <x:c r="C34" s="14" t="str">
        <x:v>Shanxi in-use computing-centre standard racks</x:v>
      </x:c>
      <x:c r="D34" s="14" t="str">
        <x:v>Shanxi</x:v>
      </x:c>
      <x:c r="E34" s="27" t="n">
        <x:v>514000</x:v>
      </x:c>
      <x:c r="F34" s="14" t="str">
        <x:v>standard racks</x:v>
      </x:c>
      <x:c r="G34" s="14" t="str">
        <x:v>Reported</x:v>
      </x:c>
      <x:c r="H34" s="23" t="n">
        <x:v>45869</x:v>
      </x:c>
      <x:c r="I34" s="14" t="str">
        <x:v>Month end</x:v>
      </x:c>
      <x:c r="J34" s="23" t="n">
        <x:v>45905</x:v>
      </x:c>
      <x:c r="K34" s="14" t="str">
        <x:v>Exact</x:v>
      </x:c>
      <x:c r="L34" s="14" t="str">
        <x:v>Shanxi Government / Jincheng Government</x:v>
      </x:c>
      <x:c r="M34" s="14" t="str">
        <x:v>Shanxi computing update</x:v>
      </x:c>
      <x:c r="N34" s="14" t="str">
        <x:v>https://www.jcgov.gov.cn/dtxx/sxyw/202509/t20250905_2227805.shtml</x:v>
      </x:c>
      <x:c r="O34" s="14" t="str">
        <x:v>No – cross-check</x:v>
      </x:c>
      <x:c r="P34" s="14" t="str">
        <x:f>IF(H34="","Unknown",IF(H34&lt;='Cutoff Policy'!$B$4,"Pass","After cutoff"))</x:f>
        <x:v>Pass</x:v>
      </x:c>
      <x:c r="Q34" s="14" t="str">
        <x:f>IF(J34="","Unknown",IF(J34&lt;='Cutoff Policy'!$B$5,"Pass","After cutoff"))</x:f>
        <x:v>Pass</x:v>
      </x:c>
      <x:c r="R34" s="14" t="str">
        <x:f>IF(OR(P34="After cutoff",Q34="After cutoff"),"Exclude from baseline",IF(OR(P34="Unknown",Q34="Unknown"),"Needs date / judgment",IF(G34="Target","Target only","Pass")))</x:f>
        <x:v>Pass</x:v>
      </x:c>
      <x:c r="S34" s="14" t="str">
        <x:v>Direct later observation.</x:v>
      </x:c>
    </x:row>
    <x:row r="35">
      <x:c r="A35" s="14" t="str">
        <x:v>X-004</x:v>
      </x:c>
      <x:c r="B35" s="14" t="str">
        <x:v>Capacity cross-check</x:v>
      </x:c>
      <x:c r="C35" s="14" t="str">
        <x:v>Zhejiang built standard racks</x:v>
      </x:c>
      <x:c r="D35" s="14" t="str">
        <x:v>Zhejiang</x:v>
      </x:c>
      <x:c r="E35" s="27" t="n">
        <x:v>579000</x:v>
      </x:c>
      <x:c r="F35" s="14" t="str">
        <x:v>standard racks</x:v>
      </x:c>
      <x:c r="G35" s="14" t="str">
        <x:v>Reported</x:v>
      </x:c>
      <x:c r="H35" s="23" t="n">
        <x:v>46022</x:v>
      </x:c>
      <x:c r="I35" s="14" t="str">
        <x:v>Year end</x:v>
      </x:c>
      <x:c r="J35" s="23" t="n">
        <x:v>46062</x:v>
      </x:c>
      <x:c r="K35" s="14" t="str">
        <x:v>Exact</x:v>
      </x:c>
      <x:c r="L35" s="14" t="str">
        <x:v>Zhejiang Communications Administration</x:v>
      </x:c>
      <x:c r="M35" s="14" t="str">
        <x:v>2025 industry statistics</x:v>
      </x:c>
      <x:c r="N35" s="14" t="str">
        <x:v>https://zjca.miit.gov.cn/zwgk/xysjtj/art/2026/art_40707d7bde224d0bafe17cb5bbac9980.html</x:v>
      </x:c>
      <x:c r="O35" s="14" t="str">
        <x:v>No – cross-check</x:v>
      </x:c>
      <x:c r="P35" s="14" t="str">
        <x:f>IF(H35="","Unknown",IF(H35&lt;='Cutoff Policy'!$B$4,"Pass","After cutoff"))</x:f>
        <x:v>Pass</x:v>
      </x:c>
      <x:c r="Q35" s="14" t="str">
        <x:f>IF(J35="","Unknown",IF(J35&lt;='Cutoff Policy'!$B$5,"Pass","After cutoff"))</x:f>
        <x:v>Pass</x:v>
      </x:c>
      <x:c r="R35" s="14" t="str">
        <x:f>IF(OR(P35="After cutoff",Q35="After cutoff"),"Exclude from baseline",IF(OR(P35="Unknown",Q35="Unknown"),"Needs date / judgment",IF(G35="Target","Target only","Pass")))</x:f>
        <x:v>Pass</x:v>
      </x:c>
      <x:c r="S35" s="14" t="str">
        <x:v>Built-rack boundary, not necessarily in-use design racks.</x:v>
      </x:c>
    </x:row>
    <x:row r="36">
      <x:c r="A36" s="14" t="str">
        <x:v>X-005</x:v>
      </x:c>
      <x:c r="B36" s="14" t="str">
        <x:v>Capacity cross-check</x:v>
      </x:c>
      <x:c r="C36" s="14" t="str">
        <x:v>Jiangsu in-use standard racks</x:v>
      </x:c>
      <x:c r="D36" s="14" t="str">
        <x:v>Jiangsu</x:v>
      </x:c>
      <x:c r="E36" s="27" t="n">
        <x:v>473000</x:v>
      </x:c>
      <x:c r="F36" s="14" t="str">
        <x:v>standard racks</x:v>
      </x:c>
      <x:c r="G36" s="14" t="str">
        <x:v>Reported</x:v>
      </x:c>
      <x:c r="H36" s="23" t="n">
        <x:v>45738</x:v>
      </x:c>
      <x:c r="I36" s="14" t="str">
        <x:v>Publication-date proxy</x:v>
      </x:c>
      <x:c r="J36" s="23" t="n">
        <x:v>45738</x:v>
      </x:c>
      <x:c r="K36" s="14" t="str">
        <x:v>Exact</x:v>
      </x:c>
      <x:c r="L36" s="14" t="str">
        <x:v>National Data Administration</x:v>
      </x:c>
      <x:c r="M36" s="14" t="str">
        <x:v>Jiangsu computing update</x:v>
      </x:c>
      <x:c r="N36" s="14" t="str">
        <x:v>https://www.nda.gov.cn/sjj/swdt/dfdt/0322/20250322164336454060508_pc.html</x:v>
      </x:c>
      <x:c r="O36" s="14" t="str">
        <x:v>No – cross-check</x:v>
      </x:c>
      <x:c r="P36" s="14" t="str">
        <x:f>IF(H36="","Unknown",IF(H36&lt;='Cutoff Policy'!$B$4,"Pass","After cutoff"))</x:f>
        <x:v>Pass</x:v>
      </x:c>
      <x:c r="Q36" s="14" t="str">
        <x:f>IF(J36="","Unknown",IF(J36&lt;='Cutoff Policy'!$B$5,"Pass","After cutoff"))</x:f>
        <x:v>Pass</x:v>
      </x:c>
      <x:c r="R36" s="14" t="str">
        <x:f>IF(OR(P36="After cutoff",Q36="After cutoff"),"Exclude from baseline",IF(OR(P36="Unknown",Q36="Unknown"),"Needs date / judgment",IF(G36="Target","Target only","Pass")))</x:f>
        <x:v>Pass</x:v>
      </x:c>
      <x:c r="S36" s="14" t="str">
        <x:v>As-of wording is 'currently'; publication date used as observation-date proxy.</x:v>
      </x:c>
    </x:row>
    <x:row r="37">
      <x:c r="A37" s="14" t="str">
        <x:v>X-006</x:v>
      </x:c>
      <x:c r="B37" s="14" t="str">
        <x:v>Capacity cross-check</x:v>
      </x:c>
      <x:c r="C37" s="14" t="str">
        <x:v>Jiangsu in-use standard racks</x:v>
      </x:c>
      <x:c r="D37" s="14" t="str">
        <x:v>Jiangsu</x:v>
      </x:c>
      <x:c r="E37" s="27" t="n">
        <x:v>670000</x:v>
      </x:c>
      <x:c r="F37" s="14" t="str">
        <x:v>standard racks</x:v>
      </x:c>
      <x:c r="G37" s="14" t="str">
        <x:v>Reported</x:v>
      </x:c>
      <x:c r="H37" s="23" t="n">
        <x:v>45900</x:v>
      </x:c>
      <x:c r="I37" s="14" t="str">
        <x:v>Month end</x:v>
      </x:c>
      <x:c r="J37" s="23" t="n">
        <x:v>45957</x:v>
      </x:c>
      <x:c r="K37" s="14" t="str">
        <x:v>Exact</x:v>
      </x:c>
      <x:c r="L37" s="14" t="str">
        <x:v>Jiangsu Communications Administration</x:v>
      </x:c>
      <x:c r="M37" s="14" t="str">
        <x:v>Jiangsu data-centre update</x:v>
      </x:c>
      <x:c r="N37" s="14" t="str">
        <x:v>https://jsca.miit.gov.cn/xwdt/gzdt/art/2025/art_86a6ff1669a749b7acf3e6498ade8c15.html</x:v>
      </x:c>
      <x:c r="O37" s="14" t="str">
        <x:v>No – cross-check</x:v>
      </x:c>
      <x:c r="P37" s="14" t="str">
        <x:f>IF(H37="","Unknown",IF(H37&lt;='Cutoff Policy'!$B$4,"Pass","After cutoff"))</x:f>
        <x:v>Pass</x:v>
      </x:c>
      <x:c r="Q37" s="14" t="str">
        <x:f>IF(J37="","Unknown",IF(J37&lt;='Cutoff Policy'!$B$5,"Pass","After cutoff"))</x:f>
        <x:v>Pass</x:v>
      </x:c>
      <x:c r="R37" s="14" t="str">
        <x:f>IF(OR(P37="After cutoff",Q37="After cutoff"),"Exclude from baseline",IF(OR(P37="Unknown",Q37="Unknown"),"Needs date / judgment",IF(G37="Target","Target only","Pass")))</x:f>
        <x:v>Pass</x:v>
      </x:c>
      <x:c r="S37" s="14" t="str">
        <x:v>Direct later observation.</x:v>
      </x:c>
    </x:row>
    <x:row r="38">
      <x:c r="A38" s="14" t="str">
        <x:v>X-007</x:v>
      </x:c>
      <x:c r="B38" s="14" t="str">
        <x:v>Capacity cross-check</x:v>
      </x:c>
      <x:c r="C38" s="14" t="str">
        <x:v>Guizhou racks in building / operation</x:v>
      </x:c>
      <x:c r="D38" s="14" t="str">
        <x:v>Guizhou</x:v>
      </x:c>
      <x:c r="E38" s="27" t="n">
        <x:v>317600</x:v>
      </x:c>
      <x:c r="F38" s="14" t="str">
        <x:v>standard racks</x:v>
      </x:c>
      <x:c r="G38" s="14" t="str">
        <x:v>Reported</x:v>
      </x:c>
      <x:c r="H38" s="23" t="n">
        <x:v>46022</x:v>
      </x:c>
      <x:c r="I38" s="14" t="str">
        <x:v>Year end</x:v>
      </x:c>
      <x:c r="J38" s="23" t="n">
        <x:v>46037</x:v>
      </x:c>
      <x:c r="K38" s="14" t="str">
        <x:v>Exact</x:v>
      </x:c>
      <x:c r="L38" s="14" t="str">
        <x:v>Guizhou Development and Reform Commission</x:v>
      </x:c>
      <x:c r="M38" s="14" t="str">
        <x:v>2025 data-centre report</x:v>
      </x:c>
      <x:c r="N38" s="14" t="str">
        <x:v>https://drc.guizhou.gov.cn/xwzx/zwyw/202601/t20260115_89300013.html</x:v>
      </x:c>
      <x:c r="O38" s="14" t="str">
        <x:v>No – cross-check</x:v>
      </x:c>
      <x:c r="P38" s="14" t="str">
        <x:f>IF(H38="","Unknown",IF(H38&lt;='Cutoff Policy'!$B$4,"Pass","After cutoff"))</x:f>
        <x:v>Pass</x:v>
      </x:c>
      <x:c r="Q38" s="14" t="str">
        <x:f>IF(J38="","Unknown",IF(J38&lt;='Cutoff Policy'!$B$5,"Pass","After cutoff"))</x:f>
        <x:v>Pass</x:v>
      </x:c>
      <x:c r="R38" s="14" t="str">
        <x:f>IF(OR(P38="After cutoff",Q38="After cutoff"),"Exclude from baseline",IF(OR(P38="Unknown",Q38="Unknown"),"Needs date / judgment",IF(G38="Target","Target only","Pass")))</x:f>
        <x:v>Pass</x:v>
      </x:c>
      <x:c r="S38" s="14" t="str">
        <x:v>Boundary covers 50 centres under construction or in operation; not comparable to in-use racks.</x:v>
      </x:c>
    </x:row>
    <x:row r="39">
      <x:c r="A39" s="14" t="str">
        <x:v>X-008</x:v>
      </x:c>
      <x:c r="B39" s="14" t="str">
        <x:v>Capacity cross-check</x:v>
      </x:c>
      <x:c r="C39" s="14" t="str">
        <x:v>Inner Mongolia built racks</x:v>
      </x:c>
      <x:c r="D39" s="14" t="str">
        <x:v>Inner Mongolia</x:v>
      </x:c>
      <x:c r="E39" s="27" t="n">
        <x:v>479000</x:v>
      </x:c>
      <x:c r="F39" s="14" t="str">
        <x:v>racks</x:v>
      </x:c>
      <x:c r="G39" s="14" t="str">
        <x:v>Reported</x:v>
      </x:c>
      <x:c r="H39" s="23" t="n">
        <x:v>45473</x:v>
      </x:c>
      <x:c r="I39" s="14" t="str">
        <x:v>Exact day</x:v>
      </x:c>
      <x:c r="J39" s="23" t="n">
        <x:v>45523</x:v>
      </x:c>
      <x:c r="K39" s="14" t="str">
        <x:v>Exact</x:v>
      </x:c>
      <x:c r="L39" s="14" t="str">
        <x:v>Inner Mongolia Data Administration (mirror)</x:v>
      </x:c>
      <x:c r="M39" s="14" t="str">
        <x:v>Regional data-centre capacity response</x:v>
      </x:c>
      <x:c r="N39" s="14" t="str">
        <x:v>https://m.wittyvow.com/zsj/zwgk/zfxxgk/fdzdgknr/jytabl/202410/t20241028_2597562.html</x:v>
      </x:c>
      <x:c r="O39" s="14" t="str">
        <x:v>No – cross-check</x:v>
      </x:c>
      <x:c r="P39" s="14" t="str">
        <x:f>IF(H39="","Unknown",IF(H39&lt;='Cutoff Policy'!$B$4,"Pass","After cutoff"))</x:f>
        <x:v>Pass</x:v>
      </x:c>
      <x:c r="Q39" s="14" t="str">
        <x:f>IF(J39="","Unknown",IF(J39&lt;='Cutoff Policy'!$B$5,"Pass","After cutoff"))</x:f>
        <x:v>Pass</x:v>
      </x:c>
      <x:c r="R39" s="14" t="str">
        <x:f>IF(OR(P39="After cutoff",Q39="After cutoff"),"Exclude from baseline",IF(OR(P39="Unknown",Q39="Unknown"),"Needs date / judgment",IF(G39="Target","Target only","Pass")))</x:f>
        <x:v>Pass</x:v>
      </x:c>
      <x:c r="S39" s="14" t="str">
        <x:v>Government-page mirror; source authenticity should be rechecked.</x:v>
      </x:c>
    </x:row>
    <x:row r="40">
      <x:c r="A40" s="14" t="str">
        <x:v>X-009</x:v>
      </x:c>
      <x:c r="B40" s="14" t="str">
        <x:v>Capacity cross-check</x:v>
      </x:c>
      <x:c r="C40" s="14" t="str">
        <x:v>Inner Mongolia in-use racks</x:v>
      </x:c>
      <x:c r="D40" s="14" t="str">
        <x:v>Inner Mongolia</x:v>
      </x:c>
      <x:c r="E40" s="27" t="n">
        <x:v>329000</x:v>
      </x:c>
      <x:c r="F40" s="14" t="str">
        <x:v>racks</x:v>
      </x:c>
      <x:c r="G40" s="14" t="str">
        <x:v>Reported</x:v>
      </x:c>
      <x:c r="H40" s="23" t="n">
        <x:v>45473</x:v>
      </x:c>
      <x:c r="I40" s="14" t="str">
        <x:v>Exact day</x:v>
      </x:c>
      <x:c r="J40" s="23" t="n">
        <x:v>45523</x:v>
      </x:c>
      <x:c r="K40" s="14" t="str">
        <x:v>Exact</x:v>
      </x:c>
      <x:c r="L40" s="14" t="str">
        <x:v>Inner Mongolia Data Administration (mirror)</x:v>
      </x:c>
      <x:c r="M40" s="14" t="str">
        <x:v>Regional data-centre capacity response</x:v>
      </x:c>
      <x:c r="N40" s="14" t="str">
        <x:v>https://m.wittyvow.com/zsj/zwgk/zfxxgk/fdzdgknr/jytabl/202410/t20241028_2597562.html</x:v>
      </x:c>
      <x:c r="O40" s="14" t="str">
        <x:v>No – cross-check</x:v>
      </x:c>
      <x:c r="P40" s="14" t="str">
        <x:f>IF(H40="","Unknown",IF(H40&lt;='Cutoff Policy'!$B$4,"Pass","After cutoff"))</x:f>
        <x:v>Pass</x:v>
      </x:c>
      <x:c r="Q40" s="14" t="str">
        <x:f>IF(J40="","Unknown",IF(J40&lt;='Cutoff Policy'!$B$5,"Pass","After cutoff"))</x:f>
        <x:v>Pass</x:v>
      </x:c>
      <x:c r="R40" s="14" t="str">
        <x:f>IF(OR(P40="After cutoff",Q40="After cutoff"),"Exclude from baseline",IF(OR(P40="Unknown",Q40="Unknown"),"Needs date / judgment",IF(G40="Target","Target only","Pass")))</x:f>
        <x:v>Pass</x:v>
      </x:c>
      <x:c r="S40" s="14" t="str">
        <x:v>Government-page mirror; rack standardisation is not clear.</x:v>
      </x:c>
    </x:row>
    <x:row r="41">
      <x:c r="A41" s="14" t="str">
        <x:v>X-010</x:v>
      </x:c>
      <x:c r="B41" s="14" t="str">
        <x:v>Capacity cross-check</x:v>
      </x:c>
      <x:c r="C41" s="14" t="str">
        <x:v>Shanghai built standard racks</x:v>
      </x:c>
      <x:c r="D41" s="14" t="str">
        <x:v>Shanghai</x:v>
      </x:c>
      <x:c r="E41" s="27" t="n">
        <x:v>574000</x:v>
      </x:c>
      <x:c r="F41" s="14" t="str">
        <x:v>standard racks</x:v>
      </x:c>
      <x:c r="G41" s="14" t="str">
        <x:v>Reported</x:v>
      </x:c>
      <x:c r="H41" s="23" t="n">
        <x:v>45473</x:v>
      </x:c>
      <x:c r="I41" s="14" t="str">
        <x:v>Exact day</x:v>
      </x:c>
      <x:c r="J41" s="23" t="n">
        <x:v>45622</x:v>
      </x:c>
      <x:c r="K41" s="14" t="str">
        <x:v>Exact</x:v>
      </x:c>
      <x:c r="L41" s="14" t="str">
        <x:v>Xinhua Finance / Shanghai Communications Administration</x:v>
      </x:c>
      <x:c r="M41" s="14" t="str">
        <x:v>Shanghai data-centre update</x:v>
      </x:c>
      <x:c r="N41" s="14" t="str">
        <x:v>https://www.cnfin.com/hg-lb/detail/20241126/4145789_1.html</x:v>
      </x:c>
      <x:c r="O41" s="14" t="str">
        <x:v>No – cross-check</x:v>
      </x:c>
      <x:c r="P41" s="14" t="str">
        <x:f>IF(H41="","Unknown",IF(H41&lt;='Cutoff Policy'!$B$4,"Pass","After cutoff"))</x:f>
        <x:v>Pass</x:v>
      </x:c>
      <x:c r="Q41" s="14" t="str">
        <x:f>IF(J41="","Unknown",IF(J41&lt;='Cutoff Policy'!$B$5,"Pass","After cutoff"))</x:f>
        <x:v>Pass</x:v>
      </x:c>
      <x:c r="R41" s="14" t="str">
        <x:f>IF(OR(P41="After cutoff",Q41="After cutoff"),"Exclude from baseline",IF(OR(P41="Unknown",Q41="Unknown"),"Needs date / judgment",IF(G41="Target","Target only","Pass")))</x:f>
        <x:v>Pass</x:v>
      </x:c>
      <x:c r="S41" s="14" t="str">
        <x:v>Secondary article quoting the regulator.</x:v>
      </x:c>
    </x:row>
    <x:row r="42">
      <x:c r="A42" s="14" t="str">
        <x:v>X-011</x:v>
      </x:c>
      <x:c r="B42" s="14" t="str">
        <x:v>Capacity cross-check</x:v>
      </x:c>
      <x:c r="C42" s="14" t="str">
        <x:v>Shanghai in-use standard racks</x:v>
      </x:c>
      <x:c r="D42" s="14" t="str">
        <x:v>Shanghai</x:v>
      </x:c>
      <x:c r="E42" s="27" t="n">
        <x:v>464000</x:v>
      </x:c>
      <x:c r="F42" s="14" t="str">
        <x:v>standard racks</x:v>
      </x:c>
      <x:c r="G42" s="14" t="str">
        <x:v>Reported</x:v>
      </x:c>
      <x:c r="H42" s="23" t="n">
        <x:v>45473</x:v>
      </x:c>
      <x:c r="I42" s="14" t="str">
        <x:v>Exact day</x:v>
      </x:c>
      <x:c r="J42" s="23" t="n">
        <x:v>45622</x:v>
      </x:c>
      <x:c r="K42" s="14" t="str">
        <x:v>Exact</x:v>
      </x:c>
      <x:c r="L42" s="14" t="str">
        <x:v>Xinhua Finance / Shanghai Communications Administration</x:v>
      </x:c>
      <x:c r="M42" s="14" t="str">
        <x:v>Shanghai data-centre update</x:v>
      </x:c>
      <x:c r="N42" s="14" t="str">
        <x:v>https://www.cnfin.com/hg-lb/detail/20241126/4145789_1.html</x:v>
      </x:c>
      <x:c r="O42" s="14" t="str">
        <x:v>No – cross-check</x:v>
      </x:c>
      <x:c r="P42" s="14" t="str">
        <x:f>IF(H42="","Unknown",IF(H42&lt;='Cutoff Policy'!$B$4,"Pass","After cutoff"))</x:f>
        <x:v>Pass</x:v>
      </x:c>
      <x:c r="Q42" s="14" t="str">
        <x:f>IF(J42="","Unknown",IF(J42&lt;='Cutoff Policy'!$B$5,"Pass","After cutoff"))</x:f>
        <x:v>Pass</x:v>
      </x:c>
      <x:c r="R42" s="14" t="str">
        <x:f>IF(OR(P42="After cutoff",Q42="After cutoff"),"Exclude from baseline",IF(OR(P42="Unknown",Q42="Unknown"),"Needs date / judgment",IF(G42="Target","Target only","Pass")))</x:f>
        <x:v>Pass</x:v>
      </x:c>
      <x:c r="S42" s="14" t="str">
        <x:v>Secondary article quoting the regulator.</x:v>
      </x:c>
    </x:row>
    <x:row r="43">
      <x:c r="A43" s="14" t="str">
        <x:v>X-012</x:v>
      </x:c>
      <x:c r="B43" s="14" t="str">
        <x:v>Capacity cross-check</x:v>
      </x:c>
      <x:c r="C43" s="14" t="str">
        <x:v>Beijing operating cabinets</x:v>
      </x:c>
      <x:c r="D43" s="14" t="str">
        <x:v>Beijing</x:v>
      </x:c>
      <x:c r="E43" s="27" t="n">
        <x:v>373000</x:v>
      </x:c>
      <x:c r="F43" s="14" t="str">
        <x:v>cabinets</x:v>
      </x:c>
      <x:c r="G43" s="14" t="str">
        <x:v>Reported</x:v>
      </x:c>
      <x:c r="H43" s="23" t="n">
        <x:v>45657</x:v>
      </x:c>
      <x:c r="I43" s="14" t="str">
        <x:v>Year end</x:v>
      </x:c>
      <x:c r="J43" s="23" t="n">
        <x:v>45770</x:v>
      </x:c>
      <x:c r="K43" s="14" t="str">
        <x:v>Exact</x:v>
      </x:c>
      <x:c r="L43" s="14" t="str">
        <x:v>Company annual report citing Kezhi Consulting</x:v>
      </x:c>
      <x:c r="M43" s="14" t="str">
        <x:v>2024 annual report</x:v>
      </x:c>
      <x:c r="N43" s="14" t="str">
        <x:v>https://static.cninfo.com.cn/finalpage/2025-04-23/1223221092.PDF</x:v>
      </x:c>
      <x:c r="O43" s="14" t="str">
        <x:v>No – cross-check</x:v>
      </x:c>
      <x:c r="P43" s="14" t="str">
        <x:f>IF(H43="","Unknown",IF(H43&lt;='Cutoff Policy'!$B$4,"Pass","After cutoff"))</x:f>
        <x:v>Pass</x:v>
      </x:c>
      <x:c r="Q43" s="14" t="str">
        <x:f>IF(J43="","Unknown",IF(J43&lt;='Cutoff Policy'!$B$5,"Pass","After cutoff"))</x:f>
        <x:v>Pass</x:v>
      </x:c>
      <x:c r="R43" s="14" t="str">
        <x:f>IF(OR(P43="After cutoff",Q43="After cutoff"),"Exclude from baseline",IF(OR(P43="Unknown",Q43="Unknown"),"Needs date / judgment",IF(G43="Target","Target only","Pass")))</x:f>
        <x:v>Pass</x:v>
      </x:c>
      <x:c r="S43" s="14" t="str">
        <x:v>Commercial IDC cabinets, not CAICT-standardised racks.</x:v>
      </x:c>
    </x:row>
    <x:row r="44">
      <x:c r="A44" s="14" t="str">
        <x:v>X-013</x:v>
      </x:c>
      <x:c r="B44" s="14" t="str">
        <x:v>Capacity cross-check</x:v>
      </x:c>
      <x:c r="C44" s="14" t="str">
        <x:v>Guangdong in-use racks</x:v>
      </x:c>
      <x:c r="D44" s="14" t="str">
        <x:v>Guangdong</x:v>
      </x:c>
      <x:c r="E44" s="27" t="n">
        <x:v>1420000</x:v>
      </x:c>
      <x:c r="F44" s="14" t="str">
        <x:v>racks</x:v>
      </x:c>
      <x:c r="G44" s="14" t="str">
        <x:v>Reported</x:v>
      </x:c>
      <x:c r="H44" s="23" t="n">
        <x:v>46022</x:v>
      </x:c>
      <x:c r="I44" s="14" t="str">
        <x:v>Year end</x:v>
      </x:c>
      <x:c r="J44" s="23" t="n">
        <x:v>46149</x:v>
      </x:c>
      <x:c r="K44" s="14" t="str">
        <x:v>Exact</x:v>
      </x:c>
      <x:c r="L44" s="14" t="str">
        <x:v>South Daily</x:v>
      </x:c>
      <x:c r="M44" s="14" t="str">
        <x:v>Guangdong digital-infrastructure update</x:v>
      </x:c>
      <x:c r="N44" s="14" t="str">
        <x:v>https://news.southcn.com/node_ac2b0b62a4/edc349595f.shtml</x:v>
      </x:c>
      <x:c r="O44" s="14" t="str">
        <x:v>No – cross-check</x:v>
      </x:c>
      <x:c r="P44" s="14" t="str">
        <x:f>IF(H44="","Unknown",IF(H44&lt;='Cutoff Policy'!$B$4,"Pass","After cutoff"))</x:f>
        <x:v>Pass</x:v>
      </x:c>
      <x:c r="Q44" s="14" t="str">
        <x:f>IF(J44="","Unknown",IF(J44&lt;='Cutoff Policy'!$B$5,"Pass","After cutoff"))</x:f>
        <x:v>Pass</x:v>
      </x:c>
      <x:c r="R44" s="14" t="str">
        <x:f>IF(OR(P44="After cutoff",Q44="After cutoff"),"Exclude from baseline",IF(OR(P44="Unknown",Q44="Unknown"),"Needs date / judgment",IF(G44="Target","Target only","Pass")))</x:f>
        <x:v>Pass</x:v>
      </x:c>
      <x:c r="S44" s="14" t="str">
        <x:v>Secondary disclosure citing CAICT; standard-rack basis not stated in the article.</x:v>
      </x:c>
    </x:row>
    <x:row r="45">
      <x:c r="A45" s="14" t="str">
        <x:v>X-014</x:v>
      </x:c>
      <x:c r="B45" s="14" t="str">
        <x:v>Capacity cross-check</x:v>
      </x:c>
      <x:c r="C45" s="14" t="str">
        <x:v>Shandong in-use racks lower bound</x:v>
      </x:c>
      <x:c r="D45" s="14" t="str">
        <x:v>Shandong</x:v>
      </x:c>
      <x:c r="E45" s="27" t="n">
        <x:v>350000</x:v>
      </x:c>
      <x:c r="F45" s="14" t="str">
        <x:v>racks</x:v>
      </x:c>
      <x:c r="G45" s="14" t="str">
        <x:v>Lower bound (&gt;)</x:v>
      </x:c>
      <x:c r="H45" s="23" t="n">
        <x:v>45834</x:v>
      </x:c>
      <x:c r="I45" s="14" t="str">
        <x:v>Publication-date proxy</x:v>
      </x:c>
      <x:c r="J45" s="23" t="n">
        <x:v>45834</x:v>
      </x:c>
      <x:c r="K45" s="14" t="str">
        <x:v>Exact</x:v>
      </x:c>
      <x:c r="L45" s="14" t="str">
        <x:v>Shandong Department of Industry and IT</x:v>
      </x:c>
      <x:c r="M45" s="14" t="str">
        <x:v>Shandong computing update</x:v>
      </x:c>
      <x:c r="N45" s="14" t="str">
        <x:v>https://gxt.shandong.gov.cn/art/2025/6/26/art_123005_38703.html</x:v>
      </x:c>
      <x:c r="O45" s="14" t="str">
        <x:v>No – cross-check</x:v>
      </x:c>
      <x:c r="P45" s="14" t="str">
        <x:f>IF(H45="","Unknown",IF(H45&lt;='Cutoff Policy'!$B$4,"Pass","After cutoff"))</x:f>
        <x:v>Pass</x:v>
      </x:c>
      <x:c r="Q45" s="14" t="str">
        <x:f>IF(J45="","Unknown",IF(J45&lt;='Cutoff Policy'!$B$5,"Pass","After cutoff"))</x:f>
        <x:v>Pass</x:v>
      </x:c>
      <x:c r="R45" s="14" t="str">
        <x:f>IF(OR(P45="After cutoff",Q45="After cutoff"),"Exclude from baseline",IF(OR(P45="Unknown",Q45="Unknown"),"Needs date / judgment",IF(G45="Target","Target only","Pass")))</x:f>
        <x:v>Pass</x:v>
      </x:c>
      <x:c r="S45" s="14" t="str">
        <x:v>Article says more than 350,000; register stores 350,000 as a lower bound.</x:v>
      </x:c>
    </x:row>
  </x:sheetData>
  <x:mergeCells>
    <x:mergeCell ref="A1:S1"/>
    <x:mergeCell ref="A2:S2"/>
  </x:mergeCells>
  <x:pageMargins left="0.7" right="0.7" top="0.75" bottom="0.75" header="0.3" footer="0.3"/>
</x:worksheet>
</file>